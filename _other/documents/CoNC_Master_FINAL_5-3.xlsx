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comments4.xml" ContentType="application/vnd.openxmlformats-officedocument.spreadsheetml.comments+xml"/>
  <Override PartName="/xl/tables/table9.xml" ContentType="application/vnd.openxmlformats-officedocument.spreadsheetml.table+xml"/>
  <Override PartName="/xl/tables/table8.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0.xml" ContentType="application/vnd.openxmlformats-officedocument.spreadsheetml.table+xml"/>
  <Override PartName="/xl/tables/table14.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17.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1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drawings/vmlDrawing1.vml" ContentType="application/vnd.openxmlformats-officedocument.vmlDrawing"/>
  <Override PartName="/xl/drawings/vmlDrawing2.vml" ContentType="application/vnd.openxmlformats-officedocument.vmlDrawing"/>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Model_Spec_Operational_Downtime" sheetId="1" state="visible" r:id="rId3"/>
    <sheet name="Introduction" sheetId="2" state="visible" r:id="rId4"/>
    <sheet name="DT_Helper" sheetId="3" state="visible" r:id="rId5"/>
    <sheet name="DT_Config" sheetId="4" state="visible" r:id="rId6"/>
    <sheet name="DT_Calc" sheetId="5" state="visible" r:id="rId7"/>
    <sheet name="DT_Scenarios" sheetId="6" state="visible" r:id="rId8"/>
    <sheet name="IBM_Calibration" sheetId="7" state="visible" r:id="rId9"/>
    <sheet name="EU_Sector_Map" sheetId="8" state="visible" r:id="rId10"/>
    <sheet name="QC_Checks" sheetId="9" state="visible" r:id="rId11"/>
  </sheets>
  <definedNames>
    <definedName function="false" hidden="false" name="Adjusted_Daily_Loss" vbProcedure="false">DT_Calc!$B$14</definedName>
    <definedName function="false" hidden="false" name="Administrative_Fine_Ceiling" vbProcedure="false">DT_Calc!$B$123</definedName>
    <definedName function="false" hidden="false" name="Annual_Revenue" vbProcedure="false">DT_Calc!$B$7</definedName>
    <definedName function="false" hidden="false" name="Business_Days" vbProcedure="false">DT_Calc!$B$8</definedName>
    <definedName function="false" hidden="false" name="CCL_Base_Pct" vbProcedure="false">DT_Calc!$B$69</definedName>
    <definedName function="false" hidden="false" name="CCL_Concentration" vbProcedure="false">DT_Calc!$B$68</definedName>
    <definedName function="false" hidden="false" name="CCL_Cost_Mid" vbProcedure="false">DT_Calc!$B$72</definedName>
    <definedName function="false" hidden="false" name="CCL_Customer_Model" vbProcedure="false">DT_Calc!$B$67</definedName>
    <definedName function="false" hidden="false" name="CCL_IR_Adj" vbProcedure="false">DT_Calc!$B$75</definedName>
    <definedName function="false" hidden="false" name="CCL_Sector_Adj" vbProcedure="false">DT_Calc!$B$70</definedName>
    <definedName function="false" hidden="false" name="CCL_Severity_Adj" vbProcedure="false">DT_Calc!$B$71</definedName>
    <definedName function="false" hidden="false" name="Daily_Revenue" vbProcedure="false">DT_Calc!$B$9</definedName>
    <definedName function="false" hidden="false" name="Downtime_Cost_Mid" vbProcedure="false">DT_Calc!$B$17</definedName>
    <definedName function="false" hidden="false" name="Downtime_Days" vbProcedure="false">DT_Calc!$B$16</definedName>
    <definedName function="false" hidden="false" name="Downtime_GAP_Score" vbProcedure="false">DT_Calc!$B$15</definedName>
    <definedName function="false" hidden="false" name="EBI_Cost_Mid" vbProcedure="false">DT_Calc!$B$59</definedName>
    <definedName function="false" hidden="false" name="EBI_Dependency_Multiplier" vbProcedure="false">DT_Calc!$B$57</definedName>
    <definedName function="false" hidden="false" name="EBI_Recovery_Baseline" vbProcedure="false">DT_Calc!$B$55</definedName>
    <definedName function="false" hidden="false" name="EBI_Restore_Adj" vbProcedure="false">DT_Calc!$B$58</definedName>
    <definedName function="false" hidden="false" name="EBI_Sector_Adj" vbProcedure="false">DT_Calc!$B$56</definedName>
    <definedName function="false" hidden="false" name="Governance_Cost_Mid" vbProcedure="false">DT_Calc!$B$110</definedName>
    <definedName function="false" hidden="false" name="IR_Base" vbProcedure="false">DT_Calc!$B$35</definedName>
    <definedName function="false" hidden="false" name="IR_Cost_Mid" vbProcedure="false">DT_Calc!$B$39</definedName>
    <definedName function="false" hidden="false" name="IR_Dependency_Multiplier" vbProcedure="false">DT_Calc!$B$38</definedName>
    <definedName function="false" hidden="false" name="IR_Maturity_Multiplier" vbProcedure="false">DT_Calc!$B$37</definedName>
    <definedName function="false" hidden="false" name="IR_Score" vbProcedure="false">DT_Calc!$B$36</definedName>
    <definedName function="false" hidden="false" name="IT_Dependency_Level" vbProcedure="false">DT_Calc!$B$10</definedName>
    <definedName function="false" hidden="false" name="IT_Factor_Downtime" vbProcedure="false">DT_Calc!$B$11</definedName>
    <definedName function="false" hidden="false" name="Reg_Base" vbProcedure="false">DT_Calc!$B$81</definedName>
    <definedName function="false" hidden="false" name="Reg_Cost_Mid" vbProcedure="false">DT_Calc!$B$85</definedName>
    <definedName function="false" hidden="false" name="Reg_IR_Adj" vbProcedure="false">DT_Calc!$B$84</definedName>
    <definedName function="false" hidden="false" name="Reg_Sector_Adj" vbProcedure="false">DT_Calc!$B$82</definedName>
    <definedName function="false" hidden="false" name="Reg_Severity_Adj" vbProcedure="false">DT_Calc!$B$83</definedName>
    <definedName function="false" hidden="false" name="Reputation_Cost_High" vbProcedure="false">DT_Calc!$B$101</definedName>
    <definedName function="false" hidden="false" name="Reputation_Cost_Low" vbProcedure="false">DT_Calc!$B$100</definedName>
    <definedName function="false" hidden="false" name="Reputation_Cost_Mid" vbProcedure="false">DT_Calc!$B$99</definedName>
    <definedName function="false" hidden="false" name="Restore_Base" vbProcedure="false">DT_Calc!$B$45</definedName>
    <definedName function="false" hidden="false" name="Restore_Cost_Mid" vbProcedure="false">DT_Calc!$B$49</definedName>
    <definedName function="false" hidden="false" name="Restore_Dependency_Multiplier" vbProcedure="false">DT_Calc!$B$48</definedName>
    <definedName function="false" hidden="false" name="Restore_Maturity_Multiplier" vbProcedure="false">DT_Calc!$B$47</definedName>
    <definedName function="false" hidden="false" name="Restore_Score" vbProcedure="false">DT_Calc!$B$46</definedName>
    <definedName function="false" hidden="false" name="Sector_Factor" vbProcedure="false">DT_Calc!$B$13</definedName>
    <definedName function="false" hidden="false" name="Sector_Name" vbProcedure="false">DT_Calc!$B$12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Note</author>
  </authors>
  <commentList>
    <comment ref="C16" authorId="0">
      <text>
        <r>
          <rPr>
            <sz val="10"/>
            <rFont val="Arial"/>
            <family val="2"/>
          </rPr>
          <t xml:space="preserve">Sector factors are calibration defaults.
Suggested sources: ENISA Threat Landscape; IBM Cost of a Data Breach; cyber insurance BI modelling.
Use ±15% only.</t>
        </r>
      </text>
    </comment>
    <comment ref="C17" authorId="0">
      <text>
        <r>
          <rPr>
            <sz val="10"/>
            <rFont val="Arial"/>
            <family val="2"/>
          </rPr>
          <t xml:space="preserve">Sector factors are calibration defaults.
Suggested sources: ENISA Threat Landscape; IBM Cost of a Data Breach; cyber insurance BI modelling.
Use ±15% only.</t>
        </r>
      </text>
    </comment>
    <comment ref="C18" authorId="0">
      <text>
        <r>
          <rPr>
            <sz val="10"/>
            <rFont val="Arial"/>
            <family val="2"/>
          </rPr>
          <t xml:space="preserve">Sector factors are calibration defaults.
Suggested sources: ENISA Threat Landscape; IBM Cost of a Data Breach; cyber insurance BI modelling.
Use ±15% only.</t>
        </r>
      </text>
    </comment>
    <comment ref="C19" authorId="0">
      <text>
        <r>
          <rPr>
            <sz val="10"/>
            <rFont val="Arial"/>
            <family val="2"/>
          </rPr>
          <t xml:space="preserve">Sector factors are calibration defaults.
Suggested sources: ENISA Threat Landscape; IBM Cost of a Data Breach; cyber insurance BI modelling.
Use ±15% only.</t>
        </r>
      </text>
    </comment>
    <comment ref="C20" authorId="0">
      <text>
        <r>
          <rPr>
            <sz val="10"/>
            <rFont val="Arial"/>
            <family val="2"/>
          </rPr>
          <t xml:space="preserve">Sector factors are calibration defaults.
Suggested sources: ENISA Threat Landscape; IBM Cost of a Data Breach; cyber insurance BI modelling.
Use ±15% only.</t>
        </r>
      </text>
    </comment>
    <comment ref="C21" authorId="0">
      <text>
        <r>
          <rPr>
            <sz val="10"/>
            <rFont val="Arial"/>
            <family val="2"/>
          </rPr>
          <t xml:space="preserve">Sector factors are calibration defaults.
Suggested sources: ENISA Threat Landscape; IBM Cost of a Data Breach; cyber insurance BI modelling.
Use ±15% only.</t>
        </r>
      </text>
    </comment>
    <comment ref="C22" authorId="0">
      <text>
        <r>
          <rPr>
            <sz val="10"/>
            <rFont val="Arial"/>
            <family val="2"/>
          </rPr>
          <t xml:space="preserve">Sector factors are calibration defaults.
Suggested sources: ENISA Threat Landscape; IBM Cost of a Data Breach; cyber insurance BI modelling.
Use ±15% only.</t>
        </r>
      </text>
    </comment>
    <comment ref="C23" authorId="0">
      <text>
        <r>
          <rPr>
            <sz val="10"/>
            <rFont val="Arial"/>
            <family val="2"/>
          </rPr>
          <t xml:space="preserve">Sector factors are calibration defaults.
Suggested sources: ENISA Threat Landscape; IBM Cost of a Data Breach; cyber insurance BI modelling.
Use ±15% only.</t>
        </r>
      </text>
    </comment>
    <comment ref="C37" authorId="0">
      <text>
        <r>
          <rPr>
            <sz val="10"/>
            <rFont val="Arial"/>
            <family val="2"/>
          </rPr>
          <t xml:space="preserve">Downtime-days mapping is a calibrated lookup (V1). Refine later using observed assessments.</t>
        </r>
      </text>
    </comment>
  </commentList>
</comments>
</file>

<file path=xl/comments6.xml><?xml version="1.0" encoding="utf-8"?>
<comments xmlns="http://schemas.openxmlformats.org/spreadsheetml/2006/main" xmlns:xdr="http://schemas.openxmlformats.org/drawingml/2006/spreadsheetDrawing">
  <authors>
    <author>Helper</author>
  </authors>
  <commentList>
    <comment ref="H4" authorId="0">
      <text>
        <r>
          <rPr>
            <sz val="10"/>
            <rFont val="Arial"/>
            <family val="2"/>
          </rPr>
          <t xml:space="preserve">DT_Q1 — Daily Backups
Do you perform daily backups of all critical systems?
0=No,1=Partly,2=Yes</t>
        </r>
      </text>
    </comment>
    <comment ref="I4" authorId="0">
      <text>
        <r>
          <rPr>
            <sz val="10"/>
            <rFont val="Arial"/>
            <family val="2"/>
          </rPr>
          <t xml:space="preserve">DT_Q2 — Offsite / Immutable Backups
Are backups stored off-site or immutable?
0=No,1=Partly,2=Yes</t>
        </r>
      </text>
    </comment>
    <comment ref="J4" authorId="0">
      <text>
        <r>
          <rPr>
            <sz val="10"/>
            <rFont val="Arial"/>
            <family val="2"/>
          </rPr>
          <t xml:space="preserve">DT_Q3 — Restore Testing
Have restores been tested within 12 months?
0=No,1=Partly,2=Yes</t>
        </r>
      </text>
    </comment>
    <comment ref="K4" authorId="0">
      <text>
        <r>
          <rPr>
            <sz val="10"/>
            <rFont val="Arial"/>
            <family val="2"/>
          </rPr>
          <t xml:space="preserve">DT_Q4 — Incident Response Plan
Documented IR plan?
0=No,1=Partly,2=Yes</t>
        </r>
      </text>
    </comment>
    <comment ref="L4" authorId="0">
      <text>
        <r>
          <rPr>
            <sz val="10"/>
            <rFont val="Arial"/>
            <family val="2"/>
          </rPr>
          <t xml:space="preserve">DT_Q5 — Defined Roles
Roles defined for incidents?
0=No,1=Partly,2=Yes</t>
        </r>
      </text>
    </comment>
    <comment ref="M4" authorId="0">
      <text>
        <r>
          <rPr>
            <sz val="10"/>
            <rFont val="Arial"/>
            <family val="2"/>
          </rPr>
          <t xml:space="preserve">DT_Q6 — Incident Exercises
IR exercises conducted?
0=No,1=Partly,2=Yes</t>
        </r>
      </text>
    </comment>
    <comment ref="N4" authorId="0">
      <text>
        <r>
          <rPr>
            <sz val="10"/>
            <rFont val="Arial"/>
            <family val="2"/>
          </rPr>
          <t xml:space="preserve">DT_Q7 — Infrastructure Resilience
Protected against SPOF?
0=No,1=Partly,2=Yes</t>
        </r>
      </text>
    </comment>
    <comment ref="O4" authorId="0">
      <text>
        <r>
          <rPr>
            <sz val="10"/>
            <rFont val="Arial"/>
            <family val="2"/>
          </rPr>
          <t xml:space="preserve">DT_Q8 — Monitoring
Continuous monitoring in place?
0=No,1=Partly,2=Yes</t>
        </r>
      </text>
    </comment>
    <comment ref="Q4" authorId="0">
      <text>
        <r>
          <rPr>
            <sz val="10"/>
            <rFont val="Arial"/>
            <family val="2"/>
          </rPr>
          <t xml:space="preserve">DEP_Q9 — Manual Operation
Can core ops run manually &gt;24h?
0=No,1=Partly,2=Yes</t>
        </r>
      </text>
    </comment>
    <comment ref="R4" authorId="0">
      <text>
        <r>
          <rPr>
            <sz val="10"/>
            <rFont val="Arial"/>
            <family val="2"/>
          </rPr>
          <t xml:space="preserve">DEP_Q10 — Production Dependency
Does production/delivery depend on IT?
0=No,1=Partly,2=Yes</t>
        </r>
      </text>
    </comment>
    <comment ref="S4" authorId="0">
      <text>
        <r>
          <rPr>
            <sz val="10"/>
            <rFont val="Arial"/>
            <family val="2"/>
          </rPr>
          <t xml:space="preserve">DEP_Q11 — Customer Access
Do customers access systems digitally?
0=No,1=Partly,2=Yes</t>
        </r>
      </text>
    </comment>
  </commentList>
</comments>
</file>

<file path=xl/sharedStrings.xml><?xml version="1.0" encoding="utf-8"?>
<sst xmlns="http://schemas.openxmlformats.org/spreadsheetml/2006/main" count="835" uniqueCount="421">
  <si>
    <t xml:space="preserve">Compliance Circle – CoNC</t>
  </si>
  <si>
    <t xml:space="preserve">Operational Downtime (Core System Outage) – Model Specification (Excel → Code)</t>
  </si>
  <si>
    <t xml:space="preserve">Purpose</t>
  </si>
  <si>
    <t xml:space="preserve">This sheet specifies the Operational Downtime model in a structured, code-friendly way. It documents inputs, data tables, mapping rules, formulas, constraints, and test cases so the model can be implemented 1:1 (e.g., by Rune using Claude) without relying on cell positions.</t>
  </si>
  <si>
    <t xml:space="preserve">Data Tables (Source of Truth)</t>
  </si>
  <si>
    <t xml:space="preserve">Table</t>
  </si>
  <si>
    <t xml:space="preserve">Description / Fields</t>
  </si>
  <si>
    <t xml:space="preserve">Sheet</t>
  </si>
  <si>
    <t xml:space="preserve">tbl_IT_Dependency</t>
  </si>
  <si>
    <t xml:space="preserve">Level → Factor. Used to scale daily revenue exposure based on operational IT dependency.
Fields: Level, Factor, Source/Note.</t>
  </si>
  <si>
    <t xml:space="preserve">DT_Config</t>
  </si>
  <si>
    <t xml:space="preserve">EU_Sector_Map</t>
  </si>
  <si>
    <t xml:space="preserve">Deterministic EU sector → IBM industry mapping. No averaging or weighting.
Fields: EU Sector, Mapped IBM Industry.</t>
  </si>
  <si>
    <t xml:space="preserve">IBM_Calibration</t>
  </si>
  <si>
    <t xml:space="preserve">IBM 2025 industry costs + linear normalisation to 0.90–1.10 sector factors.
Fields: IBM Industry, IBM Cost, Min/Max/Range, Sector Factor.</t>
  </si>
  <si>
    <t xml:space="preserve">tbl_Sector_Factors</t>
  </si>
  <si>
    <t xml:space="preserve">EU Sector → Factor (derived). Each EU sector inherits the factor of its mapped IBM industry.
Fields: Sector, Factor, Source/Note.</t>
  </si>
  <si>
    <t xml:space="preserve">tbl_GAP_Downtime</t>
  </si>
  <si>
    <t xml:space="preserve">GAP score reference table for transparency and validation.
Note: downtime_days is implemented via the continuous formula below (no lookup required).
Fields: Min score (&gt;=), Days, Note.</t>
  </si>
  <si>
    <t xml:space="preserve">tbl_EU_Sectors</t>
  </si>
  <si>
    <t xml:space="preserve">EU sector selection list for dropdowns.
Field: EU Sector.</t>
  </si>
  <si>
    <t xml:space="preserve">Sector Factor Logic</t>
  </si>
  <si>
    <t xml:space="preserve">Rule</t>
  </si>
  <si>
    <t xml:space="preserve">EU sectors are used throughout the platform. For Operational Downtime, each EU sector is mapped 1:1 to a single IBM industry category. The EU sector inherits the IBM-derived sector factor. No blending/averaging across multiple IBM categories is applied.</t>
  </si>
  <si>
    <t xml:space="preserve">IBM Normalisation (±10%)</t>
  </si>
  <si>
    <t xml:space="preserve">Formula</t>
  </si>
  <si>
    <t xml:space="preserve">sector_factor = 0.90 + ((IBM_cost - min_cost) / (max_cost - min_cost)) * 0.20
where min_cost and max_cost are taken from the full set of IBM industries (not a subset).</t>
  </si>
  <si>
    <t xml:space="preserve">Continuous GAP → Downtime Days</t>
  </si>
  <si>
    <t xml:space="preserve">gap_score (0–100) is computed from 8 maturity questions (DT_Q1–DT_Q8), each answered on a 1–5 scale:
gap_score = ((AVG(answers) - 1) / 4) * 100
downtime_days = MAX(0.5, 3 - (gap_score / 100) * 2.5)
The GAP score is treated as a continuous variable so incremental improvements translate proportionally into reduced expected downtime.
Minimum expected downtime is 0.5 days and maximum is 3.0 days.</t>
  </si>
  <si>
    <t xml:space="preserve">Operational Downtime Cost</t>
  </si>
  <si>
    <t xml:space="preserve">daily_revenue = annual_revenue / business_days
operational_downtime_cost = daily_revenue * IT_factor * sector_factor * downtime_days
Output should be presented as Low / Mid / High by applying ±30% around the mid estimate.</t>
  </si>
  <si>
    <t xml:space="preserve">Constraints</t>
  </si>
  <si>
    <t xml:space="preserve">Bounds</t>
  </si>
  <si>
    <t xml:space="preserve">0.90 ≤ sector_factor ≤ 1.10
0.5 ≤ downtime_days ≤ 3.0
IT_factor ∈ {0.3, 0.6, 0.9}</t>
  </si>
  <si>
    <t xml:space="preserve">Test Cases (expected sector factors)</t>
  </si>
  <si>
    <t xml:space="preserve">EU Sector</t>
  </si>
  <si>
    <t xml:space="preserve">Expected factor (approx)</t>
  </si>
  <si>
    <t xml:space="preserve">Mapped IBM Industry</t>
  </si>
  <si>
    <t xml:space="preserve">Q – Healthcare</t>
  </si>
  <si>
    <t xml:space="preserve">1.10</t>
  </si>
  <si>
    <t xml:space="preserve">Healthcare</t>
  </si>
  <si>
    <t xml:space="preserve">O – Public Administration</t>
  </si>
  <si>
    <t xml:space="preserve">0.90</t>
  </si>
  <si>
    <t xml:space="preserve">Public</t>
  </si>
  <si>
    <t xml:space="preserve">K – Financial Services</t>
  </si>
  <si>
    <t xml:space="preserve">1.02</t>
  </si>
  <si>
    <t xml:space="preserve">Financial</t>
  </si>
  <si>
    <t xml:space="preserve">G – Wholesale/Retail</t>
  </si>
  <si>
    <t xml:space="preserve">0.93</t>
  </si>
  <si>
    <t xml:space="preserve">Retail</t>
  </si>
  <si>
    <t xml:space="preserve">J – IT/Telecom</t>
  </si>
  <si>
    <t xml:space="preserve">0.98</t>
  </si>
  <si>
    <t xml:space="preserve">Technology</t>
  </si>
  <si>
    <t xml:space="preserve">Introduction to Cost of Operational Downtime Estimation</t>
  </si>
  <si>
    <t xml:space="preserve">This is part of the CoNC (Cost of non compliance) module in Compliance circle. The purpose is to provide a fast estimation of the cost a SME will be facing if they are to experience a data breach.  
The module consist of 9 areas of cost calculations:                                                    
Operational Impact                                                                                               
1) Operational Downtime (Core System Outage)                                           
2) Incident Response &amp; Forensics                                                                       
3) System Restoration &amp; Rebuild                                                                        
4) Business Interruption (Extended)                                                                  
Commercial Impact
5) Customer &amp; Contract Loss                                                                                
6) Reputational Impact (Sector dependent)  
Regulatory Exposure
7) Regulatory &amp; Supervisory Cost                                                                           
 8) Administrative Fine Ceiling                                                                             
Governance Cost                                                 
9) Management &amp; Governance Cost   </t>
  </si>
  <si>
    <t xml:space="preserve">Cost of Operational Downtime Estimation</t>
  </si>
  <si>
    <t xml:space="preserve">Formål
At estimere omsætnings-/driftstab ved et core system outage som en range (Low / Mid / High) baseret på:
- kundens egne nøgletal (revenue)
- hvor IT-afhængig driften er
- konservativ branchejustering
- et mini-GAP (resiliens) der estimerer forventet downtime-varighed</t>
  </si>
  <si>
    <t xml:space="preserve">Estimation steps (Factors)</t>
  </si>
  <si>
    <t xml:space="preserve">Description</t>
  </si>
  <si>
    <t xml:space="preserve">Notes</t>
  </si>
  <si>
    <t xml:space="preserve">Sources &amp; Treatment</t>
  </si>
  <si>
    <t xml:space="preserve">1 Baseline business exposure</t>
  </si>
  <si>
    <t xml:space="preserve">We start with a simple baseline for how much business value is exposed per operating day.
This provides a neutral reference point based on the client’s own financial data, before any adjustments for IT dependency and resilience are applied.
It represents the maximum potential daily exposure under normal operating conditions.</t>
  </si>
  <si>
    <t xml:space="preserve">Daily revenue exposure = Annual revenue / Business days
Default = 220 business days (can be adjusted if relevant)</t>
  </si>
  <si>
    <t xml:space="preserve">2) Operational dependency on IT</t>
  </si>
  <si>
    <t xml:space="preserve">Not all companies lose 100% of their revenue during an IT outage.
This step estimates how much of the core business operation is realistically dependent on IT systems.
The objective is to apply a conservative and robust adjustment factor that:
- is easy to explain
- does not require perfect data
- can be overridden by an advisor when better insight is available
</t>
  </si>
  <si>
    <t xml:space="preserve">Dependency is classified as Low / Medium / High
IT factor:
Low = 0,3
Medium = 0,6
High = 0,9
IT-adjusted daily loss = Daily revenue exposure × IT factor</t>
  </si>
  <si>
    <t xml:space="preserve">IT dependency is assessed using three structured questions covering:
(1) ability to operate manually during outages,
(2) dependency of production and delivery on IT systems
(3) customer access to digital platforms and services.
Each question is scored 0–2 (0 = low dependency, 1 = partial dependency, 2 = high dependency).
The total score (0–6) is mapped as follows:
0–1 = Low, 2–3 = Medium, 4–6 = High.
These levels are translated into conservative impact factors (0,3 / 0,6 / 0,9).</t>
  </si>
  <si>
    <t xml:space="preserve">3) Sector adjustment</t>
  </si>
  <si>
    <t xml:space="preserve">Some industries are structurally more exposed to operational disruption than others (for example due to time-critical delivery, production processes, or contractual obligations).
The sector adjustment is  used as a moderate relative calibration factor.
Key principle:
- the client’s own revenue and IT dependency remain the primary drivers
- the sector factor is applied as a “light-touch” modifier to avoid model bias</t>
  </si>
  <si>
    <t xml:space="preserve">Sector factors are limited to a conservative range of 0.90–1.10 and recalibrated annually using updated IBM data.
Client-specific revenue and IT dependency remain the primary drivers.
Sector-adjusted daily loss = IT-adjusted daily loss × Sector factor
</t>
  </si>
  <si>
    <t xml:space="preserve">IBM Cost of a Data Breach Report 2025 (Industry analysis, Figure 3) is used solely as a reference for relative differences between sectors.
Reported costs include multiple impact categories (legal, response, reputation, etc.) and are therefore not used as absolute downtime values.
Sector factors are derived from relative differences between industries in the report and translated into a limited multiplier range.</t>
  </si>
  <si>
    <t xml:space="preserve">4) Resilience / maturity </t>
  </si>
  <si>
    <t xml:space="preserve">This step translates the client’s operational resilience and maturity (mini-GAP assessment) into an estimated duration of a core system outage.
The underlying logic is:
- low maturity → longer recovery time (weak backup, unclear roles, limited monitoring)
- high maturity → shorter recovery time (tested recovery, clear incident response, redundancy)
- a minimum floor is applied, as even well-prepared organisations rarely experience “zero impact”
</t>
  </si>
  <si>
    <t xml:space="preserve">GAP score is normalised to 0–100
The GAP score is treated as a continuous variable to ensure that incremental improvements in resilience translate proportionally into reduced expected downtime.
Expected downtime is bounded between a minimum of 0,5 days and a maximum of 3,0 days.
downtime_days = MAX(0,5 ; 3 - (gap_score/100) × 2,5)</t>
  </si>
  <si>
    <t xml:space="preserve">The mini-GAP assessment is based on the following eight structured questions:
- Do you perform daily backups of all critical systems?
- Are backups stored off-site or immutable (protected from ransomware)?
- Have backup restores been tested within the last 12 months?
- Do you have a documented incident response plan?
- Are roles and responsibilities defined for incident handling?
- Have incident response exercises been conducted within the last 12 months?
- Are critical systems protected against single points of failure?
- Is continuous monitoring in place for core infrastructure?
Each question is scored 0–2: 
(0 = No / ad hoc, 1 = Partial / informal, 2 = Yes / formalised and tested).
Scores are averaged and normalised to a 0–100 scale:
GAP_score_calc = AVERAGE(DT_Q1:DT_Q8) / 2 × 100</t>
  </si>
  <si>
    <t xml:space="preserve">5)  Downtime impact (range)</t>
  </si>
  <si>
    <t xml:space="preserve">The final downtime cost is presented as a range (Low / Mid / High) in order to avoid false precision.</t>
  </si>
  <si>
    <t xml:space="preserve">Downtime cost (mid) = Sector-adjusted daily loss × downtime_days
Range factors:
- Low = Mid × 0,7
- Mid = Mid × 1,0
- High = Mid × 1,3
</t>
  </si>
  <si>
    <t xml:space="preserve">Helper Text – CoNC Operational Downtime (Mini-GAP)</t>
  </si>
  <si>
    <t xml:space="preserve">Answer coding: 0 = No/Not formalized/Ad-hoc, 1 = Partlally/Informal/Limited axope, 2 = Yes/Formalized/Covers all critical systems. Use these definitions to answer consistently. Score based on impact on revenue, not internal inconvenience.</t>
  </si>
  <si>
    <t xml:space="preserve">Downtime GAP (DT_Q1–DT_Q8)</t>
  </si>
  <si>
    <t xml:space="preserve">Assess how quickly the organization can realistically recover from a major system outage.</t>
  </si>
  <si>
    <t xml:space="preserve">DT_Q1 — Daily Backups</t>
  </si>
  <si>
    <t xml:space="preserve">Do you perform daily backups of all critical systems?</t>
  </si>
  <si>
    <t xml:space="preserve">DT_Q2 — Offsite / Immutable Backups</t>
  </si>
  <si>
    <t xml:space="preserve">Are backups stored off-site or immutable (protected from ransomware)?</t>
  </si>
  <si>
    <t xml:space="preserve">DT_Q3 — Restore Testing</t>
  </si>
  <si>
    <t xml:space="preserve">Have backup restores been tested within the last 12 months?</t>
  </si>
  <si>
    <t xml:space="preserve">DT_Q4 — Incident Response Plan</t>
  </si>
  <si>
    <t xml:space="preserve">Do you have a documented incident response plan?</t>
  </si>
  <si>
    <t xml:space="preserve">DT_Q5 — Defined Roles</t>
  </si>
  <si>
    <t xml:space="preserve">Are roles and responsibilities defined for incident handling?</t>
  </si>
  <si>
    <t xml:space="preserve">DT_Q6 — Incident Exercises</t>
  </si>
  <si>
    <t xml:space="preserve">Have incident response exercises been conducted within the last 12 months?</t>
  </si>
  <si>
    <t xml:space="preserve">DT_Q7 — Infrastructure Resilience</t>
  </si>
  <si>
    <t xml:space="preserve">Are critical systems protected against single points of failure?</t>
  </si>
  <si>
    <t xml:space="preserve">DT_Q8 — Monitoring</t>
  </si>
  <si>
    <t xml:space="preserve">Is continuous monitoring in place for core infrastructure?</t>
  </si>
  <si>
    <t xml:space="preserve">Interpretation</t>
  </si>
  <si>
    <t xml:space="preserve">Higher scores indicate stronger resilience and typically fewer downtime days.</t>
  </si>
  <si>
    <t xml:space="preserve">IT Dependency (DEP_Q9–DEP_Q11)</t>
  </si>
  <si>
    <t xml:space="preserve">Estimate how much of the business stops (and how much revenue is affected) when IT is unavailable.</t>
  </si>
  <si>
    <t xml:space="preserve">DEP_Q9 — Manual Operation</t>
  </si>
  <si>
    <t xml:space="preserve">Can core revenue-generating operations continue manually for more than 24 hours?</t>
  </si>
  <si>
    <t xml:space="preserve">DEP_Q10 — Production Dependency</t>
  </si>
  <si>
    <t xml:space="preserve">Does production/delivery depend directly on IT systems in a way that stops billing, delivery, or fulfillment?</t>
  </si>
  <si>
    <t xml:space="preserve">DEP_Q11 — Customer Access</t>
  </si>
  <si>
    <t xml:space="preserve">Is customer access required for sales, orders, or service delivery? (e.g. portal, SaaS, API, Booking system)?</t>
  </si>
  <si>
    <t xml:space="preserve">Higher scores indicate higher dependency, meaning a larger daily loss when systems are down.</t>
  </si>
  <si>
    <t xml:space="preserve">CoNC – Operational Downtime (Internal Test Rig)</t>
  </si>
  <si>
    <t xml:space="preserve">Model version</t>
  </si>
  <si>
    <t xml:space="preserve">CoNC-DT-v1.2</t>
  </si>
  <si>
    <t xml:space="preserve">Config tables only (no formulas). Edit values here to calibrate the model.</t>
  </si>
  <si>
    <t xml:space="preserve">Date</t>
  </si>
  <si>
    <t xml:space="preserve">2026-02-20</t>
  </si>
  <si>
    <t xml:space="preserve">Added DT_Helper sheet + header tooltips for Mini-GAP questions</t>
  </si>
  <si>
    <t xml:space="preserve">Business days / year (default)</t>
  </si>
  <si>
    <t xml:space="preserve">IT dependency factors</t>
  </si>
  <si>
    <t xml:space="preserve">Level</t>
  </si>
  <si>
    <t xml:space="preserve">Factor</t>
  </si>
  <si>
    <t xml:space="preserve">Source / note</t>
  </si>
  <si>
    <t xml:space="preserve">Low</t>
  </si>
  <si>
    <t xml:space="preserve">Calibration v1 (conservative)</t>
  </si>
  <si>
    <t xml:space="preserve">Medium</t>
  </si>
  <si>
    <t xml:space="preserve">High</t>
  </si>
  <si>
    <t xml:space="preserve">Sector factors</t>
  </si>
  <si>
    <t xml:space="preserve">EU sectors (selection list)</t>
  </si>
  <si>
    <t xml:space="preserve">Sector</t>
  </si>
  <si>
    <t xml:space="preserve">A – Agriculture</t>
  </si>
  <si>
    <t xml:space="preserve">Mapped via EU_Sector_Map to a single IBM industry category. IBM sector factors are derived from IBM Cost of a Data Breach 2025 (Figure 3) and linearly normalised to a symmetric 0.90–1.10 range (see IBM_Calibration).</t>
  </si>
  <si>
    <t xml:space="preserve">B – Mining</t>
  </si>
  <si>
    <t xml:space="preserve">C – Manufacturing</t>
  </si>
  <si>
    <t xml:space="preserve">D – Energy/Utilities</t>
  </si>
  <si>
    <t xml:space="preserve">E – Water/Waste</t>
  </si>
  <si>
    <t xml:space="preserve">F – Construction</t>
  </si>
  <si>
    <t xml:space="preserve">H – Transportation</t>
  </si>
  <si>
    <t xml:space="preserve">I – Hospitality</t>
  </si>
  <si>
    <t xml:space="preserve">L – Real Estate</t>
  </si>
  <si>
    <t xml:space="preserve">M – Professional Services</t>
  </si>
  <si>
    <t xml:space="preserve">N – Administrative Services</t>
  </si>
  <si>
    <t xml:space="preserve">P – Education</t>
  </si>
  <si>
    <t xml:space="preserve">R – Entertainment</t>
  </si>
  <si>
    <t xml:space="preserve">S – Other Services</t>
  </si>
  <si>
    <t xml:space="preserve">Downtime GAP score → typical downtime (days)</t>
  </si>
  <si>
    <t xml:space="preserve">Min score (&gt;=)</t>
  </si>
  <si>
    <t xml:space="preserve">Days</t>
  </si>
  <si>
    <t xml:space="preserve">Note</t>
  </si>
  <si>
    <t xml:space="preserve">High resilience (calibration v1)</t>
  </si>
  <si>
    <t xml:space="preserve">Medium resilience (calibration v1)</t>
  </si>
  <si>
    <t xml:space="preserve">Low resilience (calibration v1)</t>
  </si>
  <si>
    <t xml:space="preserve">Very low resilience (calibration v1)</t>
  </si>
  <si>
    <t xml:space="preserve">Output range factors</t>
  </si>
  <si>
    <t xml:space="preserve">Label</t>
  </si>
  <si>
    <t xml:space="preserve">Conservative lower bound</t>
  </si>
  <si>
    <t xml:space="preserve">Mid</t>
  </si>
  <si>
    <t xml:space="preserve">Point estimate</t>
  </si>
  <si>
    <t xml:space="preserve">Conservative upper bound</t>
  </si>
  <si>
    <t xml:space="preserve">IR Dependency Multiplier (used for Incident Response &amp; Forensics cost adjustment)</t>
  </si>
  <si>
    <t xml:space="preserve">IT Dependency Level</t>
  </si>
  <si>
    <t xml:space="preserve">IR_Dependency_Multiplier</t>
  </si>
  <si>
    <t xml:space="preserve">Lower system complexity</t>
  </si>
  <si>
    <t xml:space="preserve">Baseline</t>
  </si>
  <si>
    <t xml:space="preserve">Higher complexity &amp; scope</t>
  </si>
  <si>
    <t xml:space="preserve">System Restoration &amp; Rebuild – Base Cost (Revenue benchmark)</t>
  </si>
  <si>
    <t xml:space="preserve">Min Revenue (DKK)</t>
  </si>
  <si>
    <t xml:space="preserve">Max Revenue (DKK)</t>
  </si>
  <si>
    <t xml:space="preserve">Restore_Base_Mid</t>
  </si>
  <si>
    <t xml:space="preserve">Restore Dependency Multiplier</t>
  </si>
  <si>
    <t xml:space="preserve">Restore_Dependency_Multiplier</t>
  </si>
  <si>
    <t xml:space="preserve">Lower rebuild complexity</t>
  </si>
  <si>
    <t xml:space="preserve">Higher rebuild complexity</t>
  </si>
  <si>
    <t xml:space="preserve">Extended Business Interruption (EBI) – Parameters</t>
  </si>
  <si>
    <t xml:space="preserve">Parameter</t>
  </si>
  <si>
    <t xml:space="preserve">Value</t>
  </si>
  <si>
    <t xml:space="preserve">EBI_Recovery_Baseline</t>
  </si>
  <si>
    <t xml:space="preserve">Baseline recovery friction days per downtime day</t>
  </si>
  <si>
    <t xml:space="preserve">EBI_Sector_Compression</t>
  </si>
  <si>
    <t xml:space="preserve">Compress sector factor impact for EBI (0–1)</t>
  </si>
  <si>
    <t xml:space="preserve">EBI_Restore_Compression</t>
  </si>
  <si>
    <t xml:space="preserve">Compress restore multiplier impact for EBI (0–1)</t>
  </si>
  <si>
    <t xml:space="preserve">EBI Dependency Multiplier (mild adjustment)</t>
  </si>
  <si>
    <t xml:space="preserve">EBI_Dependency_Multiplier</t>
  </si>
  <si>
    <t xml:space="preserve">Lower extended interruption</t>
  </si>
  <si>
    <t xml:space="preserve">Higher extended interruption</t>
  </si>
  <si>
    <t xml:space="preserve">Customer &amp; Contract Loss – Base % of Annual Revenue</t>
  </si>
  <si>
    <t xml:space="preserve">Customer_Model</t>
  </si>
  <si>
    <t xml:space="preserve">Revenue_Concentration</t>
  </si>
  <si>
    <t xml:space="preserve">Base_Pct_of_Revenue</t>
  </si>
  <si>
    <t xml:space="preserve">B2B</t>
  </si>
  <si>
    <t xml:space="preserve">B2C</t>
  </si>
  <si>
    <t xml:space="preserve">Customer &amp; Contract Loss – Parameters</t>
  </si>
  <si>
    <t xml:space="preserve">CCL_Sector_Compression</t>
  </si>
  <si>
    <t xml:space="preserve">Compress sector factor effect (uses Sector_Factor)</t>
  </si>
  <si>
    <t xml:space="preserve">CCL_Severity_Min</t>
  </si>
  <si>
    <t xml:space="preserve">Multiplier when Downtime_Days = 0.5</t>
  </si>
  <si>
    <t xml:space="preserve">CCL_Severity_Max</t>
  </si>
  <si>
    <t xml:space="preserve">Multiplier when Downtime_Days = 3.0</t>
  </si>
  <si>
    <t xml:space="preserve">CCL_IR_Compression</t>
  </si>
  <si>
    <t xml:space="preserve">Compress IR maturity effect on customer/contract loss</t>
  </si>
  <si>
    <t xml:space="preserve">Regulatory &amp; Supervisory Cost – Base Cost (Revenue benchmark)</t>
  </si>
  <si>
    <t xml:space="preserve">Reg_Base_Mid</t>
  </si>
  <si>
    <t xml:space="preserve">Regulatory &amp; Supervisory Cost – Parameters</t>
  </si>
  <si>
    <t xml:space="preserve">REG_Sector_Compression</t>
  </si>
  <si>
    <t xml:space="preserve">Compressed sector effect using Sector_Factor</t>
  </si>
  <si>
    <t xml:space="preserve">REG_Severity_MaxUplift</t>
  </si>
  <si>
    <t xml:space="preserve">Max uplift at Downtime_Days=3.0 vs 0.5 baseline</t>
  </si>
  <si>
    <t xml:space="preserve">REG_IR_Compression</t>
  </si>
  <si>
    <t xml:space="preserve">Compressed effect of IR maturity on regulatory effort</t>
  </si>
  <si>
    <t xml:space="preserve">Reputational Impact – Configuration</t>
  </si>
  <si>
    <t xml:space="preserve">Customer model</t>
  </si>
  <si>
    <t xml:space="preserve">Base_Reputation_Pct_Mid</t>
  </si>
  <si>
    <t xml:space="preserve">Parameters</t>
  </si>
  <si>
    <t xml:space="preserve">Reputation_Severity_Uplift</t>
  </si>
  <si>
    <t xml:space="preserve">Max uplift at Downtime_Days = 3.0</t>
  </si>
  <si>
    <t xml:space="preserve">Reputation_Sector_Compression</t>
  </si>
  <si>
    <t xml:space="preserve">Compress sector effect</t>
  </si>
  <si>
    <t xml:space="preserve">Reputation_IR_Compression</t>
  </si>
  <si>
    <t xml:space="preserve">Compress IR effect</t>
  </si>
  <si>
    <t xml:space="preserve">Reputation_B2C_Visibility_Mult</t>
  </si>
  <si>
    <t xml:space="preserve">B2C reputational sensitivity</t>
  </si>
  <si>
    <t xml:space="preserve">Management &amp; Governance – Configuration</t>
  </si>
  <si>
    <t xml:space="preserve">Min Revenue</t>
  </si>
  <si>
    <t xml:space="preserve">Max Revenue</t>
  </si>
  <si>
    <t xml:space="preserve">Gov_Base_Mid</t>
  </si>
  <si>
    <t xml:space="preserve">Gov_Severity_Uplift</t>
  </si>
  <si>
    <t xml:space="preserve">Administrative Fine – Configuration</t>
  </si>
  <si>
    <t xml:space="preserve">Entity Type</t>
  </si>
  <si>
    <t xml:space="preserve">Percent Cap</t>
  </si>
  <si>
    <t xml:space="preserve">Fixed Cap DKK</t>
  </si>
  <si>
    <t xml:space="preserve">Important</t>
  </si>
  <si>
    <t xml:space="preserve">Essential</t>
  </si>
  <si>
    <t xml:space="preserve">Not sure</t>
  </si>
  <si>
    <t xml:space="preserve"> Step-by-step Calculation (row-by-row)</t>
  </si>
  <si>
    <t xml:space="preserve">This sheet is formula-only. Inputs come from DT_Scenarios (selected scenario).</t>
  </si>
  <si>
    <t xml:space="preserve">Selected scenario ID (DT_Scenarios)</t>
  </si>
  <si>
    <t xml:space="preserve">Step</t>
  </si>
  <si>
    <t xml:space="preserve">Annual revenue</t>
  </si>
  <si>
    <t xml:space="preserve">From scenarios (DKK)</t>
  </si>
  <si>
    <t xml:space="preserve">Business days / year</t>
  </si>
  <si>
    <t xml:space="preserve">Override optional; default from config</t>
  </si>
  <si>
    <t xml:space="preserve">Daily revenue</t>
  </si>
  <si>
    <t xml:space="preserve">Annual revenue / business days</t>
  </si>
  <si>
    <t xml:space="preserve">IT dependency level</t>
  </si>
  <si>
    <t xml:space="preserve">Manual override optional; otherwise auto-calculated from DEP_Q9–DEP_Q11</t>
  </si>
  <si>
    <t xml:space="preserve">IT factor</t>
  </si>
  <si>
    <t xml:space="preserve">Lookup from config</t>
  </si>
  <si>
    <t xml:space="preserve">Sector selection</t>
  </si>
  <si>
    <t xml:space="preserve">Sector factor</t>
  </si>
  <si>
    <t xml:space="preserve">Adjusted daily loss</t>
  </si>
  <si>
    <t xml:space="preserve">Daily revenue × IT factor × sector factor</t>
  </si>
  <si>
    <t xml:space="preserve">Downtime GAP score</t>
  </si>
  <si>
    <t xml:space="preserve">Manual override optional; otherwise auto-calculated from DT_Q1–DT_Q8</t>
  </si>
  <si>
    <t xml:space="preserve">Downtime days</t>
  </si>
  <si>
    <t xml:space="preserve">Mapping table in config</t>
  </si>
  <si>
    <t xml:space="preserve">Downtime cost (mid)</t>
  </si>
  <si>
    <t xml:space="preserve">Adjusted daily loss × downtime days</t>
  </si>
  <si>
    <t xml:space="preserve">Downtime cost (low)</t>
  </si>
  <si>
    <t xml:space="preserve">Mid × low range factor</t>
  </si>
  <si>
    <t xml:space="preserve">Downtime cost (high)</t>
  </si>
  <si>
    <t xml:space="preserve">Mid × high range factor</t>
  </si>
  <si>
    <t xml:space="preserve">Checks</t>
  </si>
  <si>
    <t xml:space="preserve">IT factor in allowed set</t>
  </si>
  <si>
    <t xml:space="preserve">OK / FAIL</t>
  </si>
  <si>
    <t xml:space="preserve">Sector factor within 0.90–1.10</t>
  </si>
  <si>
    <t xml:space="preserve">Downtime days in allowed set</t>
  </si>
  <si>
    <t xml:space="preserve">Range monotonic (low &lt; mid &lt; high)</t>
  </si>
  <si>
    <t xml:space="preserve">Incident Response &amp; Forensics (IR)</t>
  </si>
  <si>
    <t xml:space="preserve">Description:</t>
  </si>
  <si>
    <t xml:space="preserve">IR cost models the expected handling cost of a cyber incident (forensics, legal, crisis management). It consists of a benchmark base cost (revenue-dependent), adjusted by IR maturity and IT dependency.</t>
  </si>
  <si>
    <t xml:space="preserve">IR Base (Revenue benchmark)</t>
  </si>
  <si>
    <t xml:space="preserve">IR Score (1–5 avg of IR controls)</t>
  </si>
  <si>
    <t xml:space="preserve">IR Maturity Multiplier</t>
  </si>
  <si>
    <t xml:space="preserve">IR Dependency Multiplier</t>
  </si>
  <si>
    <t xml:space="preserve">IR Cost (Mid)</t>
  </si>
  <si>
    <t xml:space="preserve">System Restoration &amp; Rebuild</t>
  </si>
  <si>
    <t xml:space="preserve">Restore &amp; Rebuild cost models the technical recovery effort following an incident. It includes system reinstallation, cloud re-provisioning, data restoration and validation. It excludes lost business (Downtime) and forensic handling (IR). Cost is based on revenue benchmark, adjusted by backup maturity and IT dependency.</t>
  </si>
  <si>
    <t xml:space="preserve">Restore Base (Revenue benchmark)</t>
  </si>
  <si>
    <t xml:space="preserve">Restore Score (Backup maturity avg 1–5)</t>
  </si>
  <si>
    <t xml:space="preserve">Restore Maturity Multiplier</t>
  </si>
  <si>
    <t xml:space="preserve">Restore Cost (Mid)</t>
  </si>
  <si>
    <t xml:space="preserve">Extended Business Interruption (EBI)</t>
  </si>
  <si>
    <t xml:space="preserve">EBI models the extended operational inefficiency after core systems are restored. It captures reduced productivity, backlog clearing, manual workarounds and delivery disruption. It is anchored to downtime_days (from Operational Downtime) but uses milder sector/dependency effects and restore maturity to reflect recovery friction. It excludes pure lost revenue (Downtime), forensic handling (IR) and technical rebuild work (Restore &amp; Rebuild).</t>
  </si>
  <si>
    <t xml:space="preserve">EBI Recovery baseline</t>
  </si>
  <si>
    <t xml:space="preserve">EBI Sector adjustment (compressed)</t>
  </si>
  <si>
    <t xml:space="preserve">EBI Dependency multiplier</t>
  </si>
  <si>
    <t xml:space="preserve">EBI Restore adjustment (compressed)</t>
  </si>
  <si>
    <t xml:space="preserve">EBI Cost (Mid)</t>
  </si>
  <si>
    <t xml:space="preserve">EBI Cost (Low)</t>
  </si>
  <si>
    <t xml:space="preserve">EBI Cost (High)</t>
  </si>
  <si>
    <t xml:space="preserve">Customer &amp; Contract Loss (CCL)</t>
  </si>
  <si>
    <t xml:space="preserve">CCL models customer churn, contract loss and SLA-related commercial impact after an incident. It is expressed as a conservative % of annual revenue (not a fine). The base % is selected from customer model (B2B/B2C) and revenue concentration. Sector effect is applied in a compressed form and severity is anchored to downtime duration (Downtime_Days). It excludes pure lost revenue during outage (Downtime) and broader reputational impact (handled separately). A mild adjustment based on IR maturity is applied to reflect customer communications and incident handling quality.</t>
  </si>
  <si>
    <t xml:space="preserve">Customer model (from scenarios)</t>
  </si>
  <si>
    <t xml:space="preserve">Revenue concentration (from scenarios)</t>
  </si>
  <si>
    <t xml:space="preserve">Base % of annual revenue</t>
  </si>
  <si>
    <t xml:space="preserve">CCL Sector adjustment (compressed)</t>
  </si>
  <si>
    <t xml:space="preserve">CCL Severity adjustment (anchored to Downtime_Days)</t>
  </si>
  <si>
    <t xml:space="preserve">CCL Cost (Mid)</t>
  </si>
  <si>
    <t xml:space="preserve">CCL Cost (Low)</t>
  </si>
  <si>
    <t xml:space="preserve">CCL Cost (High)</t>
  </si>
  <si>
    <t xml:space="preserve">CCL IR adjustment (compressed)</t>
  </si>
  <si>
    <t xml:space="preserve">Regulatory &amp; Supervisory Cost</t>
  </si>
  <si>
    <t xml:space="preserve">Regulatory &amp; Supervisory Cost models the internal and external effort required to respond to supervisory follow-up after an incident (documentation, audits, legal advisory, remediation planning). It is not an administrative fine. Cost is anchored to a revenue-based benchmark and adjusted for sector intensity (compressed), incident severity (anchored to Downtime_Days), and IR maturity (compressed).</t>
  </si>
  <si>
    <t xml:space="preserve">Reg Base (Revenue benchmark)</t>
  </si>
  <si>
    <t xml:space="preserve">Reg Sector adjustment (compressed)</t>
  </si>
  <si>
    <t xml:space="preserve">Reg Severity adjustment (anchored to Downtime_Days)</t>
  </si>
  <si>
    <t xml:space="preserve">Reg IR adjustment (compressed)</t>
  </si>
  <si>
    <t xml:space="preserve">Reg Cost (Mid)</t>
  </si>
  <si>
    <t xml:space="preserve">Reg Cost (Low)</t>
  </si>
  <si>
    <t xml:space="preserve">Reg Cost (High)</t>
  </si>
  <si>
    <t xml:space="preserve">Reputational Impact</t>
  </si>
  <si>
    <t xml:space="preserve">Reputational Impact estimates secondary revenue impact caused by reduced trust and demand following an incident. It is anchored to incident severity (Downtime Days) and adjusted mildly by sector and incident response maturity. It is separate from Customer &amp; Contract Loss (CCL), which captures direct churn/contract loss.</t>
  </si>
  <si>
    <t xml:space="preserve">Customer model (B2B/B2C)</t>
  </si>
  <si>
    <t xml:space="preserve">Reputation Base % (Mid)</t>
  </si>
  <si>
    <t xml:space="preserve">Severity adjustment (Downtime anchored)</t>
  </si>
  <si>
    <t xml:space="preserve">Sector adjustment (compressed)</t>
  </si>
  <si>
    <t xml:space="preserve">IR adjustment (compressed)</t>
  </si>
  <si>
    <t xml:space="preserve">Visibility multiplier (B2C vs B2B)</t>
  </si>
  <si>
    <t xml:space="preserve">Reputational Impact (Mid)</t>
  </si>
  <si>
    <t xml:space="preserve">Reputational Impact (Low)</t>
  </si>
  <si>
    <t xml:space="preserve">Reputational Impact (High)</t>
  </si>
  <si>
    <t xml:space="preserve">Management &amp; Governance Cost</t>
  </si>
  <si>
    <t xml:space="preserve">Management &amp; Governance Cost reflects internal executive, board and governance overhead triggered by an incident. It scales with organizational size (revenue) and incident severity (Downtime Days), and includes a mild sector effect. It does not directly depend on maturity.</t>
  </si>
  <si>
    <t xml:space="preserve">Governance Base (Mid)</t>
  </si>
  <si>
    <t xml:space="preserve">Severity adjustment</t>
  </si>
  <si>
    <t xml:space="preserve">Governance Cost (Mid)</t>
  </si>
  <si>
    <t xml:space="preserve">Governance Cost (Low)</t>
  </si>
  <si>
    <t xml:space="preserve">Governance Cost (High)</t>
  </si>
  <si>
    <t xml:space="preserve">Legal Exposure – Administrative Fine Ceiling</t>
  </si>
  <si>
    <t xml:space="preserve">Statutory maximum administrative fine under NIS2. This is a legal ceiling and not an expected value. It is not included in CoNC total.</t>
  </si>
  <si>
    <t xml:space="preserve">Percent-based Amount</t>
  </si>
  <si>
    <t xml:space="preserve">Administrative Fine Ceiling (DKK)</t>
  </si>
  <si>
    <t xml:space="preserve">Operational Downtime – Scenario Table</t>
  </si>
  <si>
    <t xml:space="preserve">Edit / add scenarios here. DT_Calc reads the selected row (set in DT_Calc!B4).</t>
  </si>
  <si>
    <t xml:space="preserve">Answer coding (Downtime GAP questions DT_Q1–DT_Q8): 1–5 (CMMI-style maturity). 1=Initial, 2=Managed, 3=Defined, 4=Quantitatively Managed, 5=Optimizing. Leave manual IT dependency / Downtime GAP blank to auto-calc.</t>
  </si>
  <si>
    <t xml:space="preserve">ID</t>
  </si>
  <si>
    <t xml:space="preserve">Case name</t>
  </si>
  <si>
    <t xml:space="preserve">Annual revenue (DKK)</t>
  </si>
  <si>
    <t xml:space="preserve">IT dependency</t>
  </si>
  <si>
    <t xml:space="preserve">Downtime GAP score (0–100)</t>
  </si>
  <si>
    <t xml:space="preserve">Business days override (optional)</t>
  </si>
  <si>
    <t xml:space="preserve">DT_Q1 (1–5)</t>
  </si>
  <si>
    <t xml:space="preserve">DT_Q2 (1–5)</t>
  </si>
  <si>
    <t xml:space="preserve">DT_Q3 (1–5)</t>
  </si>
  <si>
    <t xml:space="preserve">DT_Q4 (1–5)</t>
  </si>
  <si>
    <t xml:space="preserve">DT_Q5 (1–5)</t>
  </si>
  <si>
    <t xml:space="preserve">DT_Q6 (1–5)</t>
  </si>
  <si>
    <t xml:space="preserve">DT_Q7 (1–5)</t>
  </si>
  <si>
    <t xml:space="preserve">DT_Q8 (1–5)</t>
  </si>
  <si>
    <t xml:space="preserve">Downtime GAP score (calc)</t>
  </si>
  <si>
    <t xml:space="preserve">DEP_Q9 (0/1/2)</t>
  </si>
  <si>
    <t xml:space="preserve">DEP_Q10 (0/1/2)</t>
  </si>
  <si>
    <t xml:space="preserve">DEP_Q11 (0/1/2)</t>
  </si>
  <si>
    <t xml:space="preserve">Dependency points (calc)</t>
  </si>
  <si>
    <t xml:space="preserve">IT dependency level (calc)</t>
  </si>
  <si>
    <t xml:space="preserve">Revenue concentration (Low/Med/High)</t>
  </si>
  <si>
    <t xml:space="preserve">Entity Type (Important/Essential)</t>
  </si>
  <si>
    <t xml:space="preserve">SaaS (high IT, strong resilience)</t>
  </si>
  <si>
    <t xml:space="preserve">Customer-facing; good backup/IR</t>
  </si>
  <si>
    <t xml:space="preserve">Manufacturing (high IT, medium resilience)</t>
  </si>
  <si>
    <t xml:space="preserve">ERP/production; moderate controls</t>
  </si>
  <si>
    <t xml:space="preserve">Pro services (medium IT, medium resilience)</t>
  </si>
  <si>
    <t xml:space="preserve">Work can partially shift</t>
  </si>
  <si>
    <t xml:space="preserve">Logistics (high IT, low resilience)</t>
  </si>
  <si>
    <t xml:space="preserve">Dispatch and tracking depend on IT</t>
  </si>
  <si>
    <t xml:space="preserve">Retail (medium IT, strong resilience)</t>
  </si>
  <si>
    <t xml:space="preserve">POS/ecom; tested restores</t>
  </si>
  <si>
    <t xml:space="preserve">Healthcare (high IT, low resilience)</t>
  </si>
  <si>
    <t xml:space="preserve">High criticality; weak processes</t>
  </si>
  <si>
    <t xml:space="preserve">Finance (high IT, strong resilience)</t>
  </si>
  <si>
    <t xml:space="preserve">Tight ops; strong monitoring</t>
  </si>
  <si>
    <t xml:space="preserve">Public (medium IT, medium resilience)</t>
  </si>
  <si>
    <t xml:space="preserve">Mixed IT reliance</t>
  </si>
  <si>
    <t xml:space="preserve">Energy (high IT, medium resilience)</t>
  </si>
  <si>
    <t xml:space="preserve">Operational tech dependencies</t>
  </si>
  <si>
    <t xml:space="preserve">Manufacturing 24/7 override example</t>
  </si>
  <si>
    <t xml:space="preserve">Override business days to 365 to test sensitivity</t>
  </si>
  <si>
    <t xml:space="preserve">IBM Industry</t>
  </si>
  <si>
    <t xml:space="preserve">IBM Cost (USD m)</t>
  </si>
  <si>
    <t xml:space="preserve">Min Cost</t>
  </si>
  <si>
    <t xml:space="preserve">Max Cost</t>
  </si>
  <si>
    <t xml:space="preserve">Range</t>
  </si>
  <si>
    <t xml:space="preserve">Cost - Min</t>
  </si>
  <si>
    <t xml:space="preserve">Sector Factor (0.90–1.10)</t>
  </si>
  <si>
    <t xml:space="preserve">Industrial</t>
  </si>
  <si>
    <t xml:space="preserve">Energy</t>
  </si>
  <si>
    <t xml:space="preserve">Pharmaceuticals</t>
  </si>
  <si>
    <t xml:space="preserve">Services</t>
  </si>
  <si>
    <t xml:space="preserve">Entertainment</t>
  </si>
  <si>
    <t xml:space="preserve">Media</t>
  </si>
  <si>
    <t xml:space="preserve">Hospitality</t>
  </si>
  <si>
    <t xml:space="preserve">Transportation</t>
  </si>
  <si>
    <t xml:space="preserve">Education</t>
  </si>
  <si>
    <t xml:space="preserve">Research</t>
  </si>
  <si>
    <t xml:space="preserve">Communications</t>
  </si>
  <si>
    <t xml:space="preserve">Consumer</t>
  </si>
  <si>
    <t xml:space="preserve">CoNC Quality Control Checks</t>
  </si>
  <si>
    <t xml:space="preserve">Named-range robustness: key outputs are defined as workbook names (e.g., Downtime_Days, IR_Cost_Mid, Restore_Cost_Mid, EBI_Cost_Mid).</t>
  </si>
  <si>
    <t xml:space="preserve">IR multiplier within bounds (0.80–1.30)</t>
  </si>
  <si>
    <t xml:space="preserve">Restore multiplier within bounds (0.80–1.30)</t>
  </si>
  <si>
    <t xml:space="preserve">Downtime days within bounds (0.5–3.0)</t>
  </si>
  <si>
    <t xml:space="preserve">All 8 GAP questions answered</t>
  </si>
  <si>
    <t xml:space="preserve">IR monotonic test (higher score lowers multiplier)</t>
  </si>
  <si>
    <t xml:space="preserve">Restore base lookup active (not zero)</t>
  </si>
  <si>
    <t xml:space="preserve">EBI dependency multiplier within expected set (0.90/1.00/1.10)</t>
  </si>
  <si>
    <t xml:space="preserve">EBI sector adj reasonable (0.95–1.05 if sector factor 0.9–1.1)</t>
  </si>
  <si>
    <t xml:space="preserve">EBI cost non-negative</t>
  </si>
  <si>
    <t xml:space="preserve">CCL – Customer model valid (B2B/B2C)</t>
  </si>
  <si>
    <t xml:space="preserve">CCL – Concentration valid (Low/Medium/High)</t>
  </si>
  <si>
    <t xml:space="preserve">CCL – Base % within expected bounds (0.2%–1.2%)</t>
  </si>
  <si>
    <t xml:space="preserve">CCL – Severity adj within bounds</t>
  </si>
  <si>
    <t xml:space="preserve">CCL – IR adj within bounds (based on compression)</t>
  </si>
  <si>
    <t xml:space="preserve">REG – Severity adj within bounds (1.00–1.50)</t>
  </si>
  <si>
    <t xml:space="preserve">REG – IR adj within bounds (0.90–1.15)</t>
  </si>
  <si>
    <t xml:space="preserve">REG – Cost non-negative</t>
  </si>
  <si>
    <t xml:space="preserve">Reputation – Checks</t>
  </si>
  <si>
    <t xml:space="preserve">Reputation non-negative</t>
  </si>
  <si>
    <t xml:space="preserve">Reputation &lt;= CCL (sanity)</t>
  </si>
  <si>
    <t xml:space="preserve">Governance &lt;= IR (sanity)</t>
  </si>
  <si>
    <t xml:space="preserve">Fine excluded from CoNC total</t>
  </si>
  <si>
    <t xml:space="preserve">Ensure Administrative_Fine_Ceiling not included in total sum</t>
  </si>
</sst>
</file>

<file path=xl/styles.xml><?xml version="1.0" encoding="utf-8"?>
<styleSheet xmlns="http://schemas.openxmlformats.org/spreadsheetml/2006/main">
  <numFmts count="5">
    <numFmt numFmtId="164" formatCode="General"/>
    <numFmt numFmtId="165" formatCode="0"/>
    <numFmt numFmtId="166" formatCode="0.00"/>
    <numFmt numFmtId="167" formatCode="0.0"/>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14"/>
      <name val="Calibri"/>
      <family val="0"/>
      <charset val="1"/>
    </font>
    <font>
      <b val="true"/>
      <sz val="12"/>
      <name val="Calibri"/>
      <family val="0"/>
      <charset val="1"/>
    </font>
    <font>
      <b val="true"/>
      <sz val="11"/>
      <name val="Calibri"/>
      <family val="0"/>
      <charset val="1"/>
    </font>
    <font>
      <sz val="11"/>
      <name val="Consolas"/>
      <family val="0"/>
      <charset val="1"/>
    </font>
    <font>
      <b val="true"/>
      <sz val="12"/>
      <color theme="1"/>
      <name val="Calibri"/>
      <family val="2"/>
      <charset val="1"/>
    </font>
    <font>
      <b val="true"/>
      <sz val="11"/>
      <color theme="1"/>
      <name val="Calibri"/>
      <family val="0"/>
      <charset val="1"/>
    </font>
    <font>
      <sz val="11"/>
      <color rgb="FF0000FF"/>
      <name val="Calibri"/>
      <family val="0"/>
      <charset val="1"/>
    </font>
    <font>
      <b val="true"/>
      <sz val="11"/>
      <color rgb="FFFFFFFF"/>
      <name val="Calibri"/>
      <family val="0"/>
      <charset val="1"/>
    </font>
    <font>
      <sz val="10"/>
      <name val="Arial"/>
      <family val="2"/>
    </font>
    <font>
      <b val="true"/>
      <sz val="13"/>
      <name val="Calibri"/>
      <family val="0"/>
      <charset val="1"/>
    </font>
    <font>
      <sz val="11"/>
      <name val="Calibri"/>
      <family val="0"/>
      <charset val="1"/>
    </font>
  </fonts>
  <fills count="7">
    <fill>
      <patternFill patternType="none"/>
    </fill>
    <fill>
      <patternFill patternType="gray125"/>
    </fill>
    <fill>
      <patternFill patternType="solid">
        <fgColor rgb="FFF2F2F2"/>
        <bgColor rgb="FFFFFFFF"/>
      </patternFill>
    </fill>
    <fill>
      <patternFill patternType="solid">
        <fgColor rgb="FFD9E1F2"/>
        <bgColor rgb="FFF2F2F2"/>
      </patternFill>
    </fill>
    <fill>
      <patternFill patternType="solid">
        <fgColor rgb="FFFFFF00"/>
        <bgColor rgb="FFFFFF00"/>
      </patternFill>
    </fill>
    <fill>
      <patternFill patternType="solid">
        <fgColor rgb="FFFFF2CC"/>
        <bgColor rgb="FFF2F2F2"/>
      </patternFill>
    </fill>
    <fill>
      <patternFill patternType="solid">
        <fgColor rgb="FF1F4E79"/>
        <bgColor rgb="FF003366"/>
      </patternFill>
    </fill>
  </fills>
  <borders count="3">
    <border diagonalUp="false" diagonalDown="false">
      <left/>
      <right/>
      <top/>
      <bottom/>
      <diagonal/>
    </border>
    <border diagonalUp="false" diagonalDown="false">
      <left style="thin">
        <color rgb="FF9E9E9E"/>
      </left>
      <right/>
      <top/>
      <bottom/>
      <diagonal/>
    </border>
    <border diagonalUp="false" diagonalDown="false">
      <left style="thin">
        <color rgb="FF9E9E9E"/>
      </left>
      <right style="thin">
        <color rgb="FF9E9E9E"/>
      </right>
      <top style="thin">
        <color rgb="FF9E9E9E"/>
      </top>
      <bottom style="thin">
        <color rgb="FF9E9E9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5" fillId="3"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6" fillId="3"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10" fillId="5" borderId="2"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11" fillId="6"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left" vertical="center" textRotation="0" wrapText="false" indent="0" shrinkToFit="false"/>
      <protection locked="true" hidden="false"/>
    </xf>
    <xf numFmtId="166" fontId="10" fillId="5" borderId="2"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7" fontId="10" fillId="5"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5" borderId="2"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left" vertical="center" textRotation="0" wrapText="false" indent="0" shrinkToFit="false"/>
      <protection locked="true" hidden="false"/>
    </xf>
    <xf numFmtId="168" fontId="0" fillId="0" borderId="2" xfId="0" applyFont="fals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6" fontId="0" fillId="0" borderId="2" xfId="0" applyFont="false" applyBorder="true" applyAlignment="true" applyProtection="false">
      <alignment horizontal="general" vertical="bottom" textRotation="0" wrapText="true" indent="0" shrinkToFit="false"/>
      <protection locked="true" hidden="false"/>
    </xf>
    <xf numFmtId="167" fontId="0" fillId="0" borderId="2"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false" indent="0" shrinkToFit="false"/>
      <protection locked="true" hidden="false"/>
    </xf>
    <xf numFmtId="168" fontId="10" fillId="5" borderId="2" xfId="0" applyFont="true" applyBorder="true" applyAlignment="true" applyProtection="false">
      <alignment horizontal="center" vertical="center" textRotation="0" wrapText="false" indent="0"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1F4E79"/>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E9E9E"/>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tbl_CCL_BasePct" displayName="tbl_CCL_BasePct" ref="A85:C91" headerRowCount="1" totalsRowCount="0" totalsRowShown="0">
  <autoFilter ref="A85:C91"/>
  <tableColumns count="3">
    <tableColumn id="1" name="Customer_Model"/>
    <tableColumn id="2" name="Revenue_Concentration"/>
    <tableColumn id="3" name="Base_Pct_of_Revenue"/>
  </tableColumns>
</table>
</file>

<file path=xl/tables/table2.xml><?xml version="1.0" encoding="utf-8"?>
<table xmlns="http://schemas.openxmlformats.org/spreadsheetml/2006/main" id="2" name="tbl_CCL_Params" displayName="tbl_CCL_Params" ref="A95:C99" headerRowCount="1" totalsRowCount="0" totalsRowShown="0">
  <autoFilter ref="A95:C99"/>
  <tableColumns count="3">
    <tableColumn id="1" name="Parameter"/>
    <tableColumn id="2" name="Value"/>
    <tableColumn id="3" name="Note"/>
  </tableColumns>
</table>
</file>

<file path=xl/tables/table3.xml><?xml version="1.0" encoding="utf-8"?>
<table xmlns="http://schemas.openxmlformats.org/spreadsheetml/2006/main" id="3" name="tbl_EBI_Dependency" displayName="tbl_EBI_Dependency" ref="A78:C81" headerRowCount="1" totalsRowCount="0" totalsRowShown="0">
  <autoFilter ref="A78:C81"/>
  <tableColumns count="3">
    <tableColumn id="1" name="IT Dependency Level"/>
    <tableColumn id="2" name="EBI_Dependency_Multiplier"/>
    <tableColumn id="3" name="Note"/>
  </tableColumns>
</table>
</file>

<file path=xl/tables/table4.xml><?xml version="1.0" encoding="utf-8"?>
<table xmlns="http://schemas.openxmlformats.org/spreadsheetml/2006/main" id="4" name="tbl_EBI_Params" displayName="tbl_EBI_Params" ref="A71:C74" headerRowCount="1" totalsRowCount="0" totalsRowShown="0">
  <autoFilter ref="A71:C74"/>
  <tableColumns count="3">
    <tableColumn id="1" name="Parameter"/>
    <tableColumn id="2" name="Value"/>
    <tableColumn id="3" name="Note"/>
  </tableColumns>
</table>
</file>

<file path=xl/tables/table5.xml><?xml version="1.0" encoding="utf-8"?>
<table xmlns="http://schemas.openxmlformats.org/spreadsheetml/2006/main" id="5" name="tbl_EU_Sectors" displayName="tbl_EU_Sectors" ref="E14:E33" headerRowCount="1" totalsRowCount="0" totalsRowShown="0">
  <autoFilter ref="E14:E33"/>
  <tableColumns count="1">
    <tableColumn id="1" name="EU Sector"/>
  </tableColumns>
</table>
</file>

<file path=xl/tables/table6.xml><?xml version="1.0" encoding="utf-8"?>
<table xmlns="http://schemas.openxmlformats.org/spreadsheetml/2006/main" id="6" name="tbl_Fine_Params" displayName="tbl_Fine_Params" ref="A139:C142" headerRowCount="1" totalsRowCount="0" totalsRowShown="0">
  <autoFilter ref="A139:C142"/>
  <tableColumns count="3">
    <tableColumn id="1" name="Entity Type"/>
    <tableColumn id="2" name="Percent Cap"/>
    <tableColumn id="3" name="Fixed Cap DKK"/>
  </tableColumns>
</table>
</file>

<file path=xl/tables/table7.xml><?xml version="1.0" encoding="utf-8"?>
<table xmlns="http://schemas.openxmlformats.org/spreadsheetml/2006/main" id="7" name="tbl_GAP_Downtime" displayName="tbl_GAP_Downtime" ref="A36:C40" headerRowCount="1" totalsRowCount="0" totalsRowShown="0">
  <autoFilter ref="A36:C40"/>
  <tableColumns count="3">
    <tableColumn id="1" name="Min score (&gt;=)"/>
    <tableColumn id="2" name="Days"/>
    <tableColumn id="3" name="Note"/>
  </tableColumns>
</table>
</file>

<file path=xl/tables/table8.xml><?xml version="1.0" encoding="utf-8"?>
<table xmlns="http://schemas.openxmlformats.org/spreadsheetml/2006/main" id="8" name="tbl_Gov_Base" displayName="tbl_Gov_Base" ref="A130:C133" headerRowCount="1" totalsRowCount="0" totalsRowShown="0">
  <autoFilter ref="A130:C133"/>
  <tableColumns count="3">
    <tableColumn id="1" name="Min Revenue"/>
    <tableColumn id="2" name="Max Revenue"/>
    <tableColumn id="3" name="Gov_Base_Mid"/>
  </tableColumns>
</table>
</file>

<file path=xl/tables/table9.xml><?xml version="1.0" encoding="utf-8"?>
<table xmlns="http://schemas.openxmlformats.org/spreadsheetml/2006/main" id="9" name="tbl_IR_Dependency" displayName="tbl_IR_Dependency" ref="A50:C53" headerRowCount="1" totalsRowCount="0" totalsRowShown="0">
  <autoFilter ref="A50:C53"/>
  <tableColumns count="3">
    <tableColumn id="1" name="IT Dependency Level"/>
    <tableColumn id="2" name="IR_Dependency_Multiplier"/>
    <tableColumn id="3" name="Note"/>
  </tableColumns>
</table>
</file>

<file path=xl/tables/table10.xml><?xml version="1.0" encoding="utf-8"?>
<table xmlns="http://schemas.openxmlformats.org/spreadsheetml/2006/main" id="10" name="tbl_IT_Dependency" displayName="tbl_IT_Dependency" ref="A7:C10" headerRowCount="1" totalsRowCount="0" totalsRowShown="0">
  <autoFilter ref="A7:C10"/>
  <tableColumns count="3">
    <tableColumn id="1" name="Level"/>
    <tableColumn id="2" name="Factor"/>
    <tableColumn id="3" name="Source / note"/>
  </tableColumns>
</table>
</file>

<file path=xl/tables/table11.xml><?xml version="1.0" encoding="utf-8"?>
<table xmlns="http://schemas.openxmlformats.org/spreadsheetml/2006/main" id="11" name="tbl_Reg_Base" displayName="tbl_Reg_Base" ref="A103:C106" headerRowCount="1" totalsRowCount="0" totalsRowShown="0">
  <autoFilter ref="A103:C106"/>
  <tableColumns count="3">
    <tableColumn id="1" name="Min Revenue (DKK)"/>
    <tableColumn id="2" name="Max Revenue (DKK)"/>
    <tableColumn id="3" name="Reg_Base_Mid"/>
  </tableColumns>
</table>
</file>

<file path=xl/tables/table12.xml><?xml version="1.0" encoding="utf-8"?>
<table xmlns="http://schemas.openxmlformats.org/spreadsheetml/2006/main" id="12" name="tbl_Reg_Params" displayName="tbl_Reg_Params" ref="A110:C113" headerRowCount="1" totalsRowCount="0" totalsRowShown="0">
  <autoFilter ref="A110:C113"/>
  <tableColumns count="3">
    <tableColumn id="1" name="Parameter"/>
    <tableColumn id="2" name="Value"/>
    <tableColumn id="3" name="Note"/>
  </tableColumns>
</table>
</file>

<file path=xl/tables/table13.xml><?xml version="1.0" encoding="utf-8"?>
<table xmlns="http://schemas.openxmlformats.org/spreadsheetml/2006/main" id="13" name="tbl_Reputation_Base" displayName="tbl_Reputation_Base" ref="A117:B119" headerRowCount="1" totalsRowCount="0" totalsRowShown="0">
  <autoFilter ref="A117:B119"/>
  <tableColumns count="2">
    <tableColumn id="1" name="Customer model"/>
    <tableColumn id="2" name="Base_Reputation_Pct_Mid"/>
  </tableColumns>
</table>
</file>

<file path=xl/tables/table14.xml><?xml version="1.0" encoding="utf-8"?>
<table xmlns="http://schemas.openxmlformats.org/spreadsheetml/2006/main" id="14" name="tbl_Reputation_Params" displayName="tbl_Reputation_Params" ref="A122:C126" headerRowCount="1" totalsRowCount="0" totalsRowShown="0">
  <autoFilter ref="A122:C126"/>
  <tableColumns count="3">
    <tableColumn id="1" name="Parameter"/>
    <tableColumn id="2" name="Value"/>
    <tableColumn id="3" name="Note"/>
  </tableColumns>
</table>
</file>

<file path=xl/tables/table15.xml><?xml version="1.0" encoding="utf-8"?>
<table xmlns="http://schemas.openxmlformats.org/spreadsheetml/2006/main" id="15" name="tbl_Restore_Base" displayName="tbl_Restore_Base" ref="A57:C60" headerRowCount="1" totalsRowCount="0" totalsRowShown="0">
  <autoFilter ref="A57:C60"/>
  <tableColumns count="3">
    <tableColumn id="1" name="Min Revenue (DKK)"/>
    <tableColumn id="2" name="Max Revenue (DKK)"/>
    <tableColumn id="3" name="Restore_Base_Mid"/>
  </tableColumns>
</table>
</file>

<file path=xl/tables/table16.xml><?xml version="1.0" encoding="utf-8"?>
<table xmlns="http://schemas.openxmlformats.org/spreadsheetml/2006/main" id="16" name="tbl_Restore_Dependency" displayName="tbl_Restore_Dependency" ref="A64:C67" headerRowCount="1" totalsRowCount="0" totalsRowShown="0">
  <autoFilter ref="A64:C67"/>
  <tableColumns count="3">
    <tableColumn id="1" name="IT Dependency Level"/>
    <tableColumn id="2" name="Restore_Dependency_Multiplier"/>
    <tableColumn id="3" name="Note"/>
  </tableColumns>
</table>
</file>

<file path=xl/tables/table17.xml><?xml version="1.0" encoding="utf-8"?>
<table xmlns="http://schemas.openxmlformats.org/spreadsheetml/2006/main" id="17" name="tbl_Sector_Factors" displayName="tbl_Sector_Factors" ref="A14:C33" headerRowCount="1" totalsRowCount="0" totalsRowShown="0">
  <autoFilter ref="A14:C33"/>
  <tableColumns count="3">
    <tableColumn id="1" name="Sector"/>
    <tableColumn id="2" name="Factor"/>
    <tableColumn id="3" name="Source / note"/>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Relationship Id="rId3" Type="http://schemas.openxmlformats.org/officeDocument/2006/relationships/table" Target="../tables/table1.xml"/><Relationship Id="rId4" Type="http://schemas.openxmlformats.org/officeDocument/2006/relationships/table" Target="../tables/table2.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 Id="rId9" Type="http://schemas.openxmlformats.org/officeDocument/2006/relationships/table" Target="../tables/table7.xml"/><Relationship Id="rId10" Type="http://schemas.openxmlformats.org/officeDocument/2006/relationships/table" Target="../tables/table8.xml"/><Relationship Id="rId11" Type="http://schemas.openxmlformats.org/officeDocument/2006/relationships/table" Target="../tables/table9.xml"/><Relationship Id="rId12" Type="http://schemas.openxmlformats.org/officeDocument/2006/relationships/table" Target="../tables/table10.xml"/><Relationship Id="rId13" Type="http://schemas.openxmlformats.org/officeDocument/2006/relationships/table" Target="../tables/table11.xml"/><Relationship Id="rId14" Type="http://schemas.openxmlformats.org/officeDocument/2006/relationships/table" Target="../tables/table12.xml"/><Relationship Id="rId15" Type="http://schemas.openxmlformats.org/officeDocument/2006/relationships/table" Target="../tables/table13.xml"/><Relationship Id="rId16" Type="http://schemas.openxmlformats.org/officeDocument/2006/relationships/table" Target="../tables/table14.xml"/><Relationship Id="rId17" Type="http://schemas.openxmlformats.org/officeDocument/2006/relationships/table" Target="../tables/table15.xml"/><Relationship Id="rId18" Type="http://schemas.openxmlformats.org/officeDocument/2006/relationships/table" Target="../tables/table16.xml"/><Relationship Id="rId19" Type="http://schemas.openxmlformats.org/officeDocument/2006/relationships/table" Target="../tables/table17.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8359375" defaultRowHeight="13.5" customHeight="false" zeroHeight="false" outlineLevelRow="0" outlineLevelCol="0"/>
  <cols>
    <col collapsed="false" customWidth="true" hidden="false" outlineLevel="0" max="1" min="1" style="0" width="28"/>
    <col collapsed="false" customWidth="true" hidden="false" outlineLevel="0" max="2" min="2" style="0" width="90"/>
    <col collapsed="false" customWidth="true" hidden="false" outlineLevel="0" max="3" min="3" style="0" width="22"/>
  </cols>
  <sheetData>
    <row r="1" customFormat="false" ht="18" hidden="false" customHeight="true" outlineLevel="0" collapsed="false">
      <c r="A1" s="1" t="s">
        <v>0</v>
      </c>
      <c r="B1" s="1" t="s">
        <v>1</v>
      </c>
    </row>
    <row r="3" customFormat="false" ht="42" hidden="false" customHeight="true" outlineLevel="0" collapsed="false">
      <c r="A3" s="2" t="s">
        <v>2</v>
      </c>
      <c r="B3" s="3" t="s">
        <v>3</v>
      </c>
    </row>
    <row r="5" customFormat="false" ht="15" hidden="false" customHeight="true" outlineLevel="0" collapsed="false">
      <c r="A5" s="2" t="s">
        <v>4</v>
      </c>
    </row>
    <row r="6" customFormat="false" ht="16.4" hidden="false" customHeight="false" outlineLevel="0" collapsed="false">
      <c r="A6" s="4" t="s">
        <v>5</v>
      </c>
      <c r="B6" s="4" t="s">
        <v>6</v>
      </c>
      <c r="C6" s="4" t="s">
        <v>7</v>
      </c>
    </row>
    <row r="7" customFormat="false" ht="27.75" hidden="false" customHeight="true" outlineLevel="0" collapsed="false">
      <c r="A7" s="5" t="s">
        <v>8</v>
      </c>
      <c r="B7" s="3" t="s">
        <v>9</v>
      </c>
      <c r="C7" s="3" t="s">
        <v>10</v>
      </c>
    </row>
    <row r="8" customFormat="false" ht="31.3" hidden="false" customHeight="false" outlineLevel="0" collapsed="false">
      <c r="A8" s="5" t="s">
        <v>11</v>
      </c>
      <c r="B8" s="3" t="s">
        <v>12</v>
      </c>
      <c r="C8" s="3" t="s">
        <v>11</v>
      </c>
    </row>
    <row r="9" customFormat="false" ht="27.75" hidden="false" customHeight="true" outlineLevel="0" collapsed="false">
      <c r="A9" s="5" t="s">
        <v>13</v>
      </c>
      <c r="B9" s="3" t="s">
        <v>14</v>
      </c>
      <c r="C9" s="3" t="s">
        <v>13</v>
      </c>
    </row>
    <row r="10" customFormat="false" ht="27.75" hidden="false" customHeight="true" outlineLevel="0" collapsed="false">
      <c r="A10" s="5" t="s">
        <v>15</v>
      </c>
      <c r="B10" s="3" t="s">
        <v>16</v>
      </c>
      <c r="C10" s="3" t="s">
        <v>10</v>
      </c>
    </row>
    <row r="11" customFormat="false" ht="27.75" hidden="false" customHeight="true" outlineLevel="0" collapsed="false">
      <c r="A11" s="5" t="s">
        <v>17</v>
      </c>
      <c r="B11" s="3" t="s">
        <v>18</v>
      </c>
      <c r="C11" s="3" t="s">
        <v>10</v>
      </c>
    </row>
    <row r="12" customFormat="false" ht="31.3" hidden="false" customHeight="false" outlineLevel="0" collapsed="false">
      <c r="A12" s="5" t="s">
        <v>19</v>
      </c>
      <c r="B12" s="3" t="s">
        <v>20</v>
      </c>
      <c r="C12" s="3" t="s">
        <v>10</v>
      </c>
    </row>
    <row r="14" customFormat="false" ht="15" hidden="false" customHeight="true" outlineLevel="0" collapsed="false">
      <c r="A14" s="2" t="s">
        <v>21</v>
      </c>
    </row>
    <row r="15" customFormat="false" ht="42" hidden="false" customHeight="true" outlineLevel="0" collapsed="false">
      <c r="A15" s="4" t="s">
        <v>22</v>
      </c>
      <c r="B15" s="3" t="s">
        <v>23</v>
      </c>
    </row>
    <row r="17" customFormat="false" ht="15" hidden="false" customHeight="true" outlineLevel="0" collapsed="false">
      <c r="A17" s="2" t="s">
        <v>24</v>
      </c>
    </row>
    <row r="18" customFormat="false" ht="27.75" hidden="false" customHeight="true" outlineLevel="0" collapsed="false">
      <c r="A18" s="4" t="s">
        <v>25</v>
      </c>
      <c r="B18" s="6" t="s">
        <v>26</v>
      </c>
    </row>
    <row r="20" customFormat="false" ht="15" hidden="false" customHeight="true" outlineLevel="0" collapsed="false">
      <c r="A20" s="2" t="s">
        <v>27</v>
      </c>
    </row>
    <row r="21" customFormat="false" ht="69.75" hidden="false" customHeight="true" outlineLevel="0" collapsed="false">
      <c r="A21" s="7" t="s">
        <v>25</v>
      </c>
      <c r="B21" s="6" t="s">
        <v>28</v>
      </c>
    </row>
    <row r="23" customFormat="false" ht="15" hidden="false" customHeight="true" outlineLevel="0" collapsed="false">
      <c r="A23" s="2" t="s">
        <v>29</v>
      </c>
    </row>
    <row r="24" customFormat="false" ht="42" hidden="false" customHeight="true" outlineLevel="0" collapsed="false">
      <c r="A24" s="7" t="s">
        <v>25</v>
      </c>
      <c r="B24" s="6" t="s">
        <v>30</v>
      </c>
    </row>
    <row r="26" customFormat="false" ht="15" hidden="false" customHeight="true" outlineLevel="0" collapsed="false">
      <c r="A26" s="2" t="s">
        <v>31</v>
      </c>
    </row>
    <row r="27" customFormat="false" ht="41.75" hidden="false" customHeight="false" outlineLevel="0" collapsed="false">
      <c r="A27" s="7" t="s">
        <v>32</v>
      </c>
      <c r="B27" s="6" t="s">
        <v>33</v>
      </c>
    </row>
    <row r="29" customFormat="false" ht="15" hidden="false" customHeight="true" outlineLevel="0" collapsed="false">
      <c r="A29" s="2" t="s">
        <v>34</v>
      </c>
    </row>
    <row r="30" customFormat="false" ht="16.4" hidden="false" customHeight="false" outlineLevel="0" collapsed="false">
      <c r="A30" s="4" t="s">
        <v>35</v>
      </c>
      <c r="B30" s="4" t="s">
        <v>36</v>
      </c>
      <c r="C30" s="4" t="s">
        <v>37</v>
      </c>
    </row>
    <row r="31" customFormat="false" ht="16.4" hidden="false" customHeight="false" outlineLevel="0" collapsed="false">
      <c r="A31" s="0" t="s">
        <v>38</v>
      </c>
      <c r="B31" s="3" t="s">
        <v>39</v>
      </c>
      <c r="C31" s="3" t="s">
        <v>40</v>
      </c>
    </row>
    <row r="32" customFormat="false" ht="16.4" hidden="false" customHeight="false" outlineLevel="0" collapsed="false">
      <c r="A32" s="0" t="s">
        <v>41</v>
      </c>
      <c r="B32" s="3" t="s">
        <v>42</v>
      </c>
      <c r="C32" s="3" t="s">
        <v>43</v>
      </c>
    </row>
    <row r="33" customFormat="false" ht="16.4" hidden="false" customHeight="false" outlineLevel="0" collapsed="false">
      <c r="A33" s="0" t="s">
        <v>44</v>
      </c>
      <c r="B33" s="3" t="s">
        <v>45</v>
      </c>
      <c r="C33" s="3" t="s">
        <v>46</v>
      </c>
    </row>
    <row r="34" customFormat="false" ht="16.4" hidden="false" customHeight="false" outlineLevel="0" collapsed="false">
      <c r="A34" s="0" t="s">
        <v>47</v>
      </c>
      <c r="B34" s="3" t="s">
        <v>48</v>
      </c>
      <c r="C34" s="3" t="s">
        <v>49</v>
      </c>
    </row>
    <row r="35" customFormat="false" ht="16.4" hidden="false" customHeight="false" outlineLevel="0" collapsed="false">
      <c r="A35" s="0" t="s">
        <v>50</v>
      </c>
      <c r="B35" s="3" t="s">
        <v>51</v>
      </c>
      <c r="C35" s="3"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C3" colorId="64" zoomScale="125" zoomScaleNormal="125" zoomScalePageLayoutView="100" workbookViewId="0">
      <selection pane="topLeft" activeCell="C3" activeCellId="0" sqref="C3"/>
    </sheetView>
  </sheetViews>
  <sheetFormatPr defaultColWidth="10.59765625" defaultRowHeight="13.5" customHeight="false" zeroHeight="false" outlineLevelRow="0" outlineLevelCol="0"/>
  <cols>
    <col collapsed="false" customWidth="true" hidden="false" outlineLevel="0" max="1" min="1" style="0" width="25.17"/>
    <col collapsed="false" customWidth="true" hidden="false" outlineLevel="0" max="2" min="2" style="0" width="33.33"/>
    <col collapsed="false" customWidth="true" hidden="false" outlineLevel="0" max="5" min="5" style="0" width="12.5"/>
    <col collapsed="false" customWidth="true" hidden="false" outlineLevel="0" max="12" min="12" style="0" width="63.33"/>
  </cols>
  <sheetData>
    <row r="1" customFormat="false" ht="18" hidden="false" customHeight="true" outlineLevel="0" collapsed="false">
      <c r="A1" s="8" t="s">
        <v>53</v>
      </c>
    </row>
    <row r="2" customFormat="false" ht="309.75" hidden="false" customHeight="true" outlineLevel="0" collapsed="false">
      <c r="A2" s="9" t="s">
        <v>54</v>
      </c>
      <c r="B2" s="9"/>
      <c r="C2" s="9"/>
      <c r="D2" s="9"/>
      <c r="E2" s="9"/>
    </row>
    <row r="4" customFormat="false" ht="15" hidden="false" customHeight="true" outlineLevel="0" collapsed="false">
      <c r="A4" s="10" t="s">
        <v>55</v>
      </c>
      <c r="B4" s="10"/>
      <c r="C4" s="10"/>
      <c r="D4" s="10"/>
      <c r="E4" s="10"/>
    </row>
    <row r="5" customFormat="false" ht="117.75" hidden="false" customHeight="true" outlineLevel="0" collapsed="false">
      <c r="A5" s="11" t="s">
        <v>56</v>
      </c>
      <c r="B5" s="11"/>
      <c r="C5" s="11"/>
      <c r="D5" s="11"/>
      <c r="E5" s="11"/>
    </row>
    <row r="6" s="12" customFormat="true" ht="15" hidden="false" customHeight="true" outlineLevel="0" collapsed="false">
      <c r="A6" s="12" t="s">
        <v>57</v>
      </c>
      <c r="B6" s="13" t="s">
        <v>58</v>
      </c>
      <c r="C6" s="13"/>
      <c r="D6" s="13"/>
      <c r="E6" s="13"/>
      <c r="F6" s="13" t="s">
        <v>59</v>
      </c>
      <c r="G6" s="13"/>
      <c r="H6" s="13"/>
      <c r="I6" s="13"/>
      <c r="J6" s="13"/>
      <c r="K6" s="13"/>
      <c r="L6" s="14" t="s">
        <v>60</v>
      </c>
    </row>
    <row r="7" customFormat="false" ht="105" hidden="false" customHeight="true" outlineLevel="0" collapsed="false">
      <c r="A7" s="15" t="s">
        <v>61</v>
      </c>
      <c r="B7" s="9" t="s">
        <v>62</v>
      </c>
      <c r="C7" s="9"/>
      <c r="D7" s="9"/>
      <c r="E7" s="9"/>
      <c r="F7" s="9" t="s">
        <v>63</v>
      </c>
      <c r="G7" s="9"/>
      <c r="H7" s="9"/>
      <c r="I7" s="9"/>
      <c r="J7" s="9"/>
      <c r="K7" s="9"/>
    </row>
    <row r="8" customFormat="false" ht="144" hidden="false" customHeight="true" outlineLevel="0" collapsed="false">
      <c r="A8" s="15" t="s">
        <v>64</v>
      </c>
      <c r="B8" s="9" t="s">
        <v>65</v>
      </c>
      <c r="C8" s="9"/>
      <c r="D8" s="9"/>
      <c r="E8" s="9"/>
      <c r="F8" s="9" t="s">
        <v>66</v>
      </c>
      <c r="G8" s="9"/>
      <c r="H8" s="9"/>
      <c r="I8" s="9"/>
      <c r="J8" s="9"/>
      <c r="K8" s="9"/>
      <c r="L8" s="3" t="s">
        <v>67</v>
      </c>
    </row>
    <row r="9" customFormat="false" ht="126.75" hidden="false" customHeight="true" outlineLevel="0" collapsed="false">
      <c r="A9" s="15" t="s">
        <v>68</v>
      </c>
      <c r="B9" s="9" t="s">
        <v>69</v>
      </c>
      <c r="C9" s="9"/>
      <c r="D9" s="9"/>
      <c r="E9" s="9"/>
      <c r="F9" s="9" t="s">
        <v>70</v>
      </c>
      <c r="G9" s="9"/>
      <c r="H9" s="9"/>
      <c r="I9" s="9"/>
      <c r="J9" s="9"/>
      <c r="K9" s="9"/>
      <c r="L9" s="3" t="s">
        <v>71</v>
      </c>
    </row>
    <row r="10" customFormat="false" ht="231" hidden="false" customHeight="true" outlineLevel="0" collapsed="false">
      <c r="A10" s="15" t="s">
        <v>72</v>
      </c>
      <c r="B10" s="9" t="s">
        <v>73</v>
      </c>
      <c r="C10" s="9"/>
      <c r="D10" s="9"/>
      <c r="E10" s="9"/>
      <c r="F10" s="9" t="s">
        <v>74</v>
      </c>
      <c r="G10" s="9"/>
      <c r="H10" s="9"/>
      <c r="I10" s="9"/>
      <c r="J10" s="9"/>
      <c r="K10" s="9"/>
      <c r="L10" s="3" t="s">
        <v>75</v>
      </c>
    </row>
    <row r="11" customFormat="false" ht="93" hidden="false" customHeight="true" outlineLevel="0" collapsed="false">
      <c r="A11" s="15" t="s">
        <v>76</v>
      </c>
      <c r="B11" s="9" t="s">
        <v>77</v>
      </c>
      <c r="C11" s="9"/>
      <c r="D11" s="9"/>
      <c r="E11" s="9"/>
      <c r="F11" s="9" t="s">
        <v>78</v>
      </c>
      <c r="G11" s="9"/>
      <c r="H11" s="9"/>
      <c r="I11" s="9"/>
      <c r="J11" s="9"/>
      <c r="K11" s="9"/>
    </row>
  </sheetData>
  <mergeCells count="15">
    <mergeCell ref="A2:E2"/>
    <mergeCell ref="A4:E4"/>
    <mergeCell ref="A5:E5"/>
    <mergeCell ref="B6:E6"/>
    <mergeCell ref="F6:K6"/>
    <mergeCell ref="B7:E7"/>
    <mergeCell ref="F7:K7"/>
    <mergeCell ref="B8:E8"/>
    <mergeCell ref="F8:K8"/>
    <mergeCell ref="B9:E9"/>
    <mergeCell ref="F9:K9"/>
    <mergeCell ref="B10:E10"/>
    <mergeCell ref="F10:K10"/>
    <mergeCell ref="B11:E11"/>
    <mergeCell ref="F11:K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8.8359375" defaultRowHeight="13.5" customHeight="false" zeroHeight="false" outlineLevelRow="0" outlineLevelCol="0"/>
  <cols>
    <col collapsed="false" customWidth="true" hidden="false" outlineLevel="0" max="1" min="1" style="0" width="49.83"/>
    <col collapsed="false" customWidth="true" hidden="false" outlineLevel="0" max="2" min="2" style="0" width="88.17"/>
  </cols>
  <sheetData>
    <row r="1" customFormat="false" ht="18" hidden="false" customHeight="true" outlineLevel="0" collapsed="false">
      <c r="A1" s="8" t="s">
        <v>79</v>
      </c>
    </row>
    <row r="2" customFormat="false" ht="55.5" hidden="false" customHeight="true" outlineLevel="0" collapsed="false">
      <c r="A2" s="3" t="s">
        <v>80</v>
      </c>
    </row>
    <row r="4" customFormat="false" ht="15" hidden="false" customHeight="true" outlineLevel="0" collapsed="false">
      <c r="A4" s="16" t="s">
        <v>81</v>
      </c>
    </row>
    <row r="5" customFormat="false" ht="16.4" hidden="false" customHeight="false" outlineLevel="0" collapsed="false">
      <c r="A5" s="17" t="s">
        <v>2</v>
      </c>
      <c r="B5" s="18" t="s">
        <v>82</v>
      </c>
    </row>
    <row r="7" customFormat="false" ht="16.4" hidden="false" customHeight="false" outlineLevel="0" collapsed="false">
      <c r="A7" s="17" t="s">
        <v>83</v>
      </c>
      <c r="B7" s="18" t="s">
        <v>84</v>
      </c>
    </row>
    <row r="8" customFormat="false" ht="16.4" hidden="false" customHeight="false" outlineLevel="0" collapsed="false">
      <c r="A8" s="17" t="s">
        <v>85</v>
      </c>
      <c r="B8" s="18" t="s">
        <v>86</v>
      </c>
    </row>
    <row r="9" customFormat="false" ht="16.4" hidden="false" customHeight="false" outlineLevel="0" collapsed="false">
      <c r="A9" s="17" t="s">
        <v>87</v>
      </c>
      <c r="B9" s="18" t="s">
        <v>88</v>
      </c>
    </row>
    <row r="10" customFormat="false" ht="16.4" hidden="false" customHeight="false" outlineLevel="0" collapsed="false">
      <c r="A10" s="17" t="s">
        <v>89</v>
      </c>
      <c r="B10" s="18" t="s">
        <v>90</v>
      </c>
    </row>
    <row r="11" customFormat="false" ht="16.4" hidden="false" customHeight="false" outlineLevel="0" collapsed="false">
      <c r="A11" s="17" t="s">
        <v>91</v>
      </c>
      <c r="B11" s="18" t="s">
        <v>92</v>
      </c>
    </row>
    <row r="12" customFormat="false" ht="16.4" hidden="false" customHeight="false" outlineLevel="0" collapsed="false">
      <c r="A12" s="17" t="s">
        <v>93</v>
      </c>
      <c r="B12" s="18" t="s">
        <v>94</v>
      </c>
    </row>
    <row r="13" customFormat="false" ht="16.4" hidden="false" customHeight="false" outlineLevel="0" collapsed="false">
      <c r="A13" s="17" t="s">
        <v>95</v>
      </c>
      <c r="B13" s="18" t="s">
        <v>96</v>
      </c>
    </row>
    <row r="14" customFormat="false" ht="16.4" hidden="false" customHeight="false" outlineLevel="0" collapsed="false">
      <c r="A14" s="17" t="s">
        <v>97</v>
      </c>
      <c r="B14" s="18" t="s">
        <v>98</v>
      </c>
    </row>
    <row r="15" customFormat="false" ht="16.4" hidden="false" customHeight="false" outlineLevel="0" collapsed="false">
      <c r="A15" s="17" t="s">
        <v>99</v>
      </c>
      <c r="B15" s="18" t="s">
        <v>100</v>
      </c>
    </row>
    <row r="17" customFormat="false" ht="15" hidden="false" customHeight="true" outlineLevel="0" collapsed="false">
      <c r="A17" s="16" t="s">
        <v>101</v>
      </c>
    </row>
    <row r="18" customFormat="false" ht="16.4" hidden="false" customHeight="false" outlineLevel="0" collapsed="false">
      <c r="A18" s="17" t="s">
        <v>2</v>
      </c>
      <c r="B18" s="18" t="s">
        <v>102</v>
      </c>
    </row>
    <row r="20" customFormat="false" ht="16.4" hidden="false" customHeight="false" outlineLevel="0" collapsed="false">
      <c r="A20" s="17" t="s">
        <v>103</v>
      </c>
      <c r="B20" s="18" t="s">
        <v>104</v>
      </c>
    </row>
    <row r="21" customFormat="false" ht="31.3" hidden="false" customHeight="false" outlineLevel="0" collapsed="false">
      <c r="A21" s="17" t="s">
        <v>105</v>
      </c>
      <c r="B21" s="18" t="s">
        <v>106</v>
      </c>
    </row>
    <row r="22" customFormat="false" ht="31.3" hidden="false" customHeight="false" outlineLevel="0" collapsed="false">
      <c r="A22" s="17" t="s">
        <v>107</v>
      </c>
      <c r="B22" s="18" t="s">
        <v>108</v>
      </c>
    </row>
    <row r="23" customFormat="false" ht="16.4" hidden="false" customHeight="false" outlineLevel="0" collapsed="false">
      <c r="A23" s="17" t="s">
        <v>99</v>
      </c>
      <c r="B23" s="18"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B39" activeCellId="0" sqref="B39"/>
    </sheetView>
  </sheetViews>
  <sheetFormatPr defaultColWidth="8.8359375" defaultRowHeight="13.5" customHeight="false"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92.04"/>
    <col collapsed="false" customWidth="true" hidden="false" outlineLevel="0" max="4" min="4" style="0" width="31.62"/>
    <col collapsed="false" customWidth="true" hidden="false" outlineLevel="0" max="8" min="8" style="0" width="14"/>
    <col collapsed="false" customWidth="true" hidden="false" outlineLevel="0" max="9" min="9" style="0" width="28"/>
  </cols>
  <sheetData>
    <row r="1" customFormat="false" ht="18" hidden="false" customHeight="true" outlineLevel="0" collapsed="false">
      <c r="A1" s="8" t="s">
        <v>110</v>
      </c>
      <c r="H1" s="19" t="s">
        <v>111</v>
      </c>
      <c r="I1" s="20" t="s">
        <v>112</v>
      </c>
    </row>
    <row r="2" customFormat="false" ht="27.75" hidden="false" customHeight="true" outlineLevel="0" collapsed="false">
      <c r="A2" s="21" t="s">
        <v>113</v>
      </c>
      <c r="H2" s="19" t="s">
        <v>114</v>
      </c>
      <c r="I2" s="20" t="s">
        <v>115</v>
      </c>
    </row>
    <row r="3" customFormat="false" ht="13.5" hidden="false" customHeight="false" outlineLevel="0" collapsed="false">
      <c r="H3" s="19" t="s">
        <v>59</v>
      </c>
      <c r="I3" s="20" t="s">
        <v>116</v>
      </c>
    </row>
    <row r="4" customFormat="false" ht="13.5" hidden="false" customHeight="false" outlineLevel="0" collapsed="false">
      <c r="A4" s="19" t="s">
        <v>117</v>
      </c>
      <c r="B4" s="22" t="n">
        <v>220</v>
      </c>
    </row>
    <row r="6" customFormat="false" ht="13.5" hidden="false" customHeight="false" outlineLevel="0" collapsed="false">
      <c r="A6" s="23" t="s">
        <v>118</v>
      </c>
    </row>
    <row r="7" customFormat="false" ht="21.75" hidden="false" customHeight="true" outlineLevel="0" collapsed="false">
      <c r="A7" s="24" t="s">
        <v>119</v>
      </c>
      <c r="B7" s="24" t="s">
        <v>120</v>
      </c>
      <c r="C7" s="24" t="s">
        <v>121</v>
      </c>
    </row>
    <row r="8" customFormat="false" ht="13.5" hidden="false" customHeight="false" outlineLevel="0" collapsed="false">
      <c r="A8" s="25" t="s">
        <v>122</v>
      </c>
      <c r="B8" s="26" t="n">
        <v>0.3</v>
      </c>
      <c r="C8" s="25" t="s">
        <v>123</v>
      </c>
    </row>
    <row r="9" customFormat="false" ht="13.5" hidden="false" customHeight="false" outlineLevel="0" collapsed="false">
      <c r="A9" s="25" t="s">
        <v>124</v>
      </c>
      <c r="B9" s="26" t="n">
        <v>0.6</v>
      </c>
      <c r="C9" s="25" t="s">
        <v>123</v>
      </c>
    </row>
    <row r="10" customFormat="false" ht="13.5" hidden="false" customHeight="false" outlineLevel="0" collapsed="false">
      <c r="A10" s="25" t="s">
        <v>125</v>
      </c>
      <c r="B10" s="26" t="n">
        <v>0.9</v>
      </c>
      <c r="C10" s="25" t="s">
        <v>123</v>
      </c>
    </row>
    <row r="13" customFormat="false" ht="13.5" hidden="false" customHeight="false" outlineLevel="0" collapsed="false">
      <c r="A13" s="27" t="s">
        <v>126</v>
      </c>
      <c r="E13" s="0" t="s">
        <v>127</v>
      </c>
    </row>
    <row r="14" customFormat="false" ht="21.75" hidden="false" customHeight="true" outlineLevel="0" collapsed="false">
      <c r="A14" s="24" t="s">
        <v>128</v>
      </c>
      <c r="B14" s="24" t="s">
        <v>120</v>
      </c>
      <c r="C14" s="24" t="s">
        <v>121</v>
      </c>
      <c r="E14" s="28" t="s">
        <v>35</v>
      </c>
    </row>
    <row r="15" customFormat="false" ht="13.5" hidden="false" customHeight="false" outlineLevel="0" collapsed="false">
      <c r="A15" s="25" t="s">
        <v>129</v>
      </c>
      <c r="B15" s="26" t="n">
        <f aca="false">INDEX(IBM_Calibration!$G$2:$G$18, MATCH(INDEX(EU_Sector_Map!$B$2:$B$20, MATCH(A15, EU_Sector_Map!$A$2:$A$20, 0)), IBM_Calibration!$A$2:$A$18, 0))</f>
        <v>0.993859649122807</v>
      </c>
      <c r="C15" s="0" t="s">
        <v>130</v>
      </c>
      <c r="E15" s="0" t="s">
        <v>129</v>
      </c>
    </row>
    <row r="16" customFormat="false" ht="13.5" hidden="false" customHeight="false" outlineLevel="0" collapsed="false">
      <c r="A16" s="25" t="s">
        <v>131</v>
      </c>
      <c r="B16" s="26" t="n">
        <f aca="false">INDEX(IBM_Calibration!$G$2:$G$18, MATCH(INDEX(EU_Sector_Map!$B$2:$B$20, MATCH(A16, EU_Sector_Map!$A$2:$A$20, 0)), IBM_Calibration!$A$2:$A$18, 0))</f>
        <v>0.993859649122807</v>
      </c>
      <c r="C16" s="0" t="s">
        <v>130</v>
      </c>
      <c r="E16" s="0" t="s">
        <v>131</v>
      </c>
    </row>
    <row r="17" customFormat="false" ht="13.5" hidden="false" customHeight="false" outlineLevel="0" collapsed="false">
      <c r="A17" s="25" t="s">
        <v>132</v>
      </c>
      <c r="B17" s="26" t="n">
        <f aca="false">INDEX(IBM_Calibration!$G$2:$G$18, MATCH(INDEX(EU_Sector_Map!$B$2:$B$20, MATCH(A17, EU_Sector_Map!$A$2:$A$20, 0)), IBM_Calibration!$A$2:$A$18, 0))</f>
        <v>0.993859649122807</v>
      </c>
      <c r="C17" s="0" t="s">
        <v>130</v>
      </c>
      <c r="E17" s="0" t="s">
        <v>132</v>
      </c>
    </row>
    <row r="18" customFormat="false" ht="13.5" hidden="false" customHeight="false" outlineLevel="0" collapsed="false">
      <c r="A18" s="25" t="s">
        <v>133</v>
      </c>
      <c r="B18" s="26" t="n">
        <f aca="false">INDEX(IBM_Calibration!$G$2:$G$18, MATCH(INDEX(EU_Sector_Map!$B$2:$B$20, MATCH(A18, EU_Sector_Map!$A$2:$A$20, 0)), IBM_Calibration!$A$2:$A$18, 0))</f>
        <v>0.98640350877193</v>
      </c>
      <c r="C18" s="0" t="s">
        <v>130</v>
      </c>
      <c r="E18" s="0" t="s">
        <v>133</v>
      </c>
    </row>
    <row r="19" customFormat="false" ht="13.5" hidden="false" customHeight="false" outlineLevel="0" collapsed="false">
      <c r="A19" s="25" t="s">
        <v>134</v>
      </c>
      <c r="B19" s="26" t="n">
        <f aca="false">INDEX(IBM_Calibration!$G$2:$G$18, MATCH(INDEX(EU_Sector_Map!$B$2:$B$20, MATCH(A19, EU_Sector_Map!$A$2:$A$20, 0)), IBM_Calibration!$A$2:$A$18, 0))</f>
        <v>0.98640350877193</v>
      </c>
      <c r="C19" s="0" t="s">
        <v>130</v>
      </c>
      <c r="E19" s="0" t="s">
        <v>134</v>
      </c>
    </row>
    <row r="20" customFormat="false" ht="13.5" hidden="false" customHeight="false" outlineLevel="0" collapsed="false">
      <c r="A20" s="25" t="s">
        <v>135</v>
      </c>
      <c r="B20" s="26" t="n">
        <f aca="false">INDEX(IBM_Calibration!$G$2:$G$18, MATCH(INDEX(EU_Sector_Map!$B$2:$B$20, MATCH(A20, EU_Sector_Map!$A$2:$A$20, 0)), IBM_Calibration!$A$2:$A$18, 0))</f>
        <v>0.993859649122807</v>
      </c>
      <c r="C20" s="0" t="s">
        <v>130</v>
      </c>
      <c r="E20" s="0" t="s">
        <v>135</v>
      </c>
    </row>
    <row r="21" customFormat="false" ht="13.5" hidden="false" customHeight="false" outlineLevel="0" collapsed="false">
      <c r="A21" s="25" t="s">
        <v>47</v>
      </c>
      <c r="B21" s="26" t="n">
        <f aca="false">INDEX(IBM_Calibration!$G$2:$G$18, MATCH(INDEX(EU_Sector_Map!$B$2:$B$20, MATCH(A21, EU_Sector_Map!$A$2:$A$20, 0)), IBM_Calibration!$A$2:$A$18, 0))</f>
        <v>0.929824561403509</v>
      </c>
      <c r="C21" s="0" t="s">
        <v>130</v>
      </c>
      <c r="E21" s="0" t="s">
        <v>47</v>
      </c>
    </row>
    <row r="22" customFormat="false" ht="13.5" hidden="false" customHeight="false" outlineLevel="0" collapsed="false">
      <c r="A22" s="25" t="s">
        <v>136</v>
      </c>
      <c r="B22" s="26" t="n">
        <f aca="false">INDEX(IBM_Calibration!$G$2:$G$18, MATCH(INDEX(EU_Sector_Map!$B$2:$B$20, MATCH(A22, EU_Sector_Map!$A$2:$A$20, 0)), IBM_Calibration!$A$2:$A$18, 0))</f>
        <v>0.949122807017544</v>
      </c>
      <c r="C22" s="0" t="s">
        <v>130</v>
      </c>
      <c r="E22" s="0" t="s">
        <v>136</v>
      </c>
    </row>
    <row r="23" customFormat="false" ht="13.5" hidden="false" customHeight="false" outlineLevel="0" collapsed="false">
      <c r="A23" s="25" t="s">
        <v>137</v>
      </c>
      <c r="B23" s="26" t="n">
        <f aca="false">INDEX(IBM_Calibration!$G$2:$G$18, MATCH(INDEX(EU_Sector_Map!$B$2:$B$20, MATCH(A23, EU_Sector_Map!$A$2:$A$20, 0)), IBM_Calibration!$A$2:$A$18, 0))</f>
        <v>0.951315789473684</v>
      </c>
      <c r="C23" s="0" t="s">
        <v>130</v>
      </c>
      <c r="E23" s="0" t="s">
        <v>137</v>
      </c>
    </row>
    <row r="24" customFormat="false" ht="13.5" hidden="false" customHeight="false" outlineLevel="0" collapsed="false">
      <c r="A24" s="0" t="s">
        <v>50</v>
      </c>
      <c r="B24" s="0" t="n">
        <f aca="false">INDEX(IBM_Calibration!$G$2:$G$18, MATCH(INDEX(EU_Sector_Map!$B$2:$B$20, MATCH(A24, EU_Sector_Map!$A$2:$A$20, 0)), IBM_Calibration!$A$2:$A$18, 0))</f>
        <v>0.984649122807018</v>
      </c>
      <c r="C24" s="0" t="s">
        <v>130</v>
      </c>
      <c r="E24" s="0" t="s">
        <v>50</v>
      </c>
    </row>
    <row r="25" customFormat="false" ht="13.5" hidden="false" customHeight="false" outlineLevel="0" collapsed="false">
      <c r="A25" s="0" t="s">
        <v>44</v>
      </c>
      <c r="B25" s="0" t="n">
        <f aca="false">INDEX(IBM_Calibration!$G$2:$G$18, MATCH(INDEX(EU_Sector_Map!$B$2:$B$20, MATCH(A25, EU_Sector_Map!$A$2:$A$20, 0)), IBM_Calibration!$A$2:$A$18, 0))</f>
        <v>1.01842105263158</v>
      </c>
      <c r="C25" s="0" t="s">
        <v>130</v>
      </c>
      <c r="E25" s="0" t="s">
        <v>44</v>
      </c>
    </row>
    <row r="26" customFormat="false" ht="21.75" hidden="false" customHeight="true" outlineLevel="0" collapsed="false">
      <c r="A26" s="0" t="s">
        <v>138</v>
      </c>
      <c r="B26" s="0" t="n">
        <f aca="false">INDEX(IBM_Calibration!$G$2:$G$18, MATCH(INDEX(EU_Sector_Map!$B$2:$B$20, MATCH(A26, EU_Sector_Map!$A$2:$A$20, 0)), IBM_Calibration!$A$2:$A$18, 0))</f>
        <v>0.974561403508772</v>
      </c>
      <c r="C26" s="0" t="s">
        <v>130</v>
      </c>
      <c r="E26" s="0" t="s">
        <v>138</v>
      </c>
    </row>
    <row r="27" customFormat="false" ht="13.5" hidden="false" customHeight="false" outlineLevel="0" collapsed="false">
      <c r="A27" s="0" t="s">
        <v>139</v>
      </c>
      <c r="B27" s="0" t="n">
        <f aca="false">INDEX(IBM_Calibration!$G$2:$G$18, MATCH(INDEX(EU_Sector_Map!$B$2:$B$20, MATCH(A27, EU_Sector_Map!$A$2:$A$20, 0)), IBM_Calibration!$A$2:$A$18, 0))</f>
        <v>0.974561403508772</v>
      </c>
      <c r="C27" s="0" t="s">
        <v>130</v>
      </c>
      <c r="E27" s="0" t="s">
        <v>139</v>
      </c>
    </row>
    <row r="28" customFormat="false" ht="13.5" hidden="false" customHeight="false" outlineLevel="0" collapsed="false">
      <c r="A28" s="0" t="s">
        <v>140</v>
      </c>
      <c r="B28" s="0" t="n">
        <f aca="false">INDEX(IBM_Calibration!$G$2:$G$18, MATCH(INDEX(EU_Sector_Map!$B$2:$B$20, MATCH(A28, EU_Sector_Map!$A$2:$A$20, 0)), IBM_Calibration!$A$2:$A$18, 0))</f>
        <v>0.974561403508772</v>
      </c>
      <c r="C28" s="0" t="s">
        <v>130</v>
      </c>
      <c r="E28" s="0" t="s">
        <v>140</v>
      </c>
    </row>
    <row r="29" customFormat="false" ht="13.5" hidden="false" customHeight="false" outlineLevel="0" collapsed="false">
      <c r="A29" s="0" t="s">
        <v>41</v>
      </c>
      <c r="B29" s="0" t="n">
        <f aca="false">INDEX(IBM_Calibration!$G$2:$G$18, MATCH(INDEX(EU_Sector_Map!$B$2:$B$20, MATCH(A29, EU_Sector_Map!$A$2:$A$20, 0)), IBM_Calibration!$A$2:$A$18, 0))</f>
        <v>0.9</v>
      </c>
      <c r="C29" s="0" t="s">
        <v>130</v>
      </c>
      <c r="E29" s="0" t="s">
        <v>41</v>
      </c>
    </row>
    <row r="30" customFormat="false" ht="13.5" hidden="false" customHeight="false" outlineLevel="0" collapsed="false">
      <c r="A30" s="0" t="s">
        <v>141</v>
      </c>
      <c r="B30" s="0" t="n">
        <f aca="false">INDEX(IBM_Calibration!$G$2:$G$18, MATCH(INDEX(EU_Sector_Map!$B$2:$B$20, MATCH(A30, EU_Sector_Map!$A$2:$A$20, 0)), IBM_Calibration!$A$2:$A$18, 0))</f>
        <v>0.941228070175439</v>
      </c>
      <c r="C30" s="0" t="s">
        <v>130</v>
      </c>
      <c r="E30" s="0" t="s">
        <v>141</v>
      </c>
    </row>
    <row r="31" customFormat="false" ht="13.5" hidden="false" customHeight="false" outlineLevel="0" collapsed="false">
      <c r="A31" s="0" t="s">
        <v>38</v>
      </c>
      <c r="B31" s="0" t="n">
        <f aca="false">INDEX(IBM_Calibration!$G$2:$G$18, MATCH(INDEX(EU_Sector_Map!$B$2:$B$20, MATCH(A31, EU_Sector_Map!$A$2:$A$20, 0)), IBM_Calibration!$A$2:$A$18, 0))</f>
        <v>1.1</v>
      </c>
      <c r="C31" s="0" t="s">
        <v>130</v>
      </c>
      <c r="E31" s="0" t="s">
        <v>38</v>
      </c>
    </row>
    <row r="32" customFormat="false" ht="13.5" hidden="false" customHeight="false" outlineLevel="0" collapsed="false">
      <c r="A32" s="0" t="s">
        <v>142</v>
      </c>
      <c r="B32" s="0" t="n">
        <f aca="false">INDEX(IBM_Calibration!$G$2:$G$18, MATCH(INDEX(EU_Sector_Map!$B$2:$B$20, MATCH(A32, EU_Sector_Map!$A$2:$A$20, 0)), IBM_Calibration!$A$2:$A$18, 0))</f>
        <v>0.968859649122807</v>
      </c>
      <c r="C32" s="0" t="s">
        <v>130</v>
      </c>
      <c r="E32" s="0" t="s">
        <v>142</v>
      </c>
    </row>
    <row r="33" customFormat="false" ht="21.75" hidden="false" customHeight="true" outlineLevel="0" collapsed="false">
      <c r="A33" s="0" t="s">
        <v>143</v>
      </c>
      <c r="B33" s="0" t="n">
        <f aca="false">INDEX(IBM_Calibration!$G$2:$G$18, MATCH(INDEX(EU_Sector_Map!$B$2:$B$20, MATCH(A33, EU_Sector_Map!$A$2:$A$20, 0)), IBM_Calibration!$A$2:$A$18, 0))</f>
        <v>0.974561403508772</v>
      </c>
      <c r="C33" s="0" t="s">
        <v>130</v>
      </c>
      <c r="E33" s="0" t="s">
        <v>143</v>
      </c>
    </row>
    <row r="34" customFormat="false" ht="13.5" hidden="false" customHeight="false" outlineLevel="0" collapsed="false">
      <c r="E34" s="0" t="s">
        <v>50</v>
      </c>
    </row>
    <row r="35" customFormat="false" ht="13.5" hidden="false" customHeight="false" outlineLevel="0" collapsed="false">
      <c r="A35" s="27" t="s">
        <v>144</v>
      </c>
      <c r="E35" s="0" t="s">
        <v>44</v>
      </c>
    </row>
    <row r="36" customFormat="false" ht="13.5" hidden="false" customHeight="false" outlineLevel="0" collapsed="false">
      <c r="A36" s="24" t="s">
        <v>145</v>
      </c>
      <c r="B36" s="24" t="s">
        <v>146</v>
      </c>
      <c r="C36" s="24" t="s">
        <v>147</v>
      </c>
      <c r="E36" s="0" t="s">
        <v>138</v>
      </c>
    </row>
    <row r="37" customFormat="false" ht="13.5" hidden="false" customHeight="false" outlineLevel="0" collapsed="false">
      <c r="A37" s="29" t="n">
        <v>80</v>
      </c>
      <c r="B37" s="30" t="n">
        <v>0.5</v>
      </c>
      <c r="C37" s="25" t="s">
        <v>148</v>
      </c>
      <c r="E37" s="0" t="s">
        <v>139</v>
      </c>
    </row>
    <row r="38" customFormat="false" ht="13.5" hidden="false" customHeight="false" outlineLevel="0" collapsed="false">
      <c r="A38" s="29" t="n">
        <v>65</v>
      </c>
      <c r="B38" s="30" t="n">
        <v>1</v>
      </c>
      <c r="C38" s="25" t="s">
        <v>149</v>
      </c>
      <c r="E38" s="0" t="s">
        <v>140</v>
      </c>
    </row>
    <row r="39" customFormat="false" ht="13.5" hidden="false" customHeight="false" outlineLevel="0" collapsed="false">
      <c r="A39" s="29" t="n">
        <v>45</v>
      </c>
      <c r="B39" s="30" t="n">
        <v>2</v>
      </c>
      <c r="C39" s="25" t="s">
        <v>150</v>
      </c>
      <c r="E39" s="0" t="s">
        <v>41</v>
      </c>
    </row>
    <row r="40" customFormat="false" ht="13.5" hidden="false" customHeight="false" outlineLevel="0" collapsed="false">
      <c r="A40" s="29" t="n">
        <v>0</v>
      </c>
      <c r="B40" s="30" t="n">
        <v>3</v>
      </c>
      <c r="C40" s="25" t="s">
        <v>151</v>
      </c>
      <c r="E40" s="0" t="s">
        <v>141</v>
      </c>
    </row>
    <row r="41" customFormat="false" ht="13.5" hidden="false" customHeight="false" outlineLevel="0" collapsed="false">
      <c r="E41" s="0" t="s">
        <v>38</v>
      </c>
    </row>
    <row r="42" customFormat="false" ht="13.5" hidden="false" customHeight="false" outlineLevel="0" collapsed="false">
      <c r="A42" s="27" t="s">
        <v>152</v>
      </c>
      <c r="E42" s="0" t="s">
        <v>142</v>
      </c>
    </row>
    <row r="43" customFormat="false" ht="13.5" hidden="false" customHeight="false" outlineLevel="0" collapsed="false">
      <c r="A43" s="24" t="s">
        <v>153</v>
      </c>
      <c r="B43" s="24" t="s">
        <v>120</v>
      </c>
      <c r="C43" s="24" t="s">
        <v>147</v>
      </c>
      <c r="E43" s="0" t="s">
        <v>143</v>
      </c>
    </row>
    <row r="44" customFormat="false" ht="13.5" hidden="false" customHeight="false" outlineLevel="0" collapsed="false">
      <c r="A44" s="31" t="s">
        <v>122</v>
      </c>
      <c r="B44" s="26" t="n">
        <v>0.7</v>
      </c>
      <c r="C44" s="25" t="s">
        <v>154</v>
      </c>
    </row>
    <row r="45" customFormat="false" ht="13.5" hidden="false" customHeight="false" outlineLevel="0" collapsed="false">
      <c r="A45" s="31" t="s">
        <v>155</v>
      </c>
      <c r="B45" s="26" t="n">
        <v>1</v>
      </c>
      <c r="C45" s="25" t="s">
        <v>156</v>
      </c>
    </row>
    <row r="46" customFormat="false" ht="13.5" hidden="false" customHeight="false" outlineLevel="0" collapsed="false">
      <c r="A46" s="31" t="s">
        <v>125</v>
      </c>
      <c r="B46" s="26" t="n">
        <v>1.3</v>
      </c>
      <c r="C46" s="25" t="s">
        <v>157</v>
      </c>
    </row>
    <row r="49" customFormat="false" ht="13.5" hidden="false" customHeight="false" outlineLevel="0" collapsed="false">
      <c r="A49" s="5" t="s">
        <v>158</v>
      </c>
    </row>
    <row r="50" customFormat="false" ht="13.5" hidden="false" customHeight="false" outlineLevel="0" collapsed="false">
      <c r="A50" s="5" t="s">
        <v>159</v>
      </c>
      <c r="B50" s="5" t="s">
        <v>160</v>
      </c>
      <c r="C50" s="5" t="s">
        <v>147</v>
      </c>
    </row>
    <row r="51" customFormat="false" ht="13.5" hidden="false" customHeight="false" outlineLevel="0" collapsed="false">
      <c r="A51" s="0" t="s">
        <v>122</v>
      </c>
      <c r="B51" s="0" t="n">
        <v>0.85</v>
      </c>
      <c r="C51" s="0" t="s">
        <v>161</v>
      </c>
    </row>
    <row r="52" customFormat="false" ht="13.5" hidden="false" customHeight="false" outlineLevel="0" collapsed="false">
      <c r="A52" s="0" t="s">
        <v>124</v>
      </c>
      <c r="B52" s="0" t="n">
        <v>1</v>
      </c>
      <c r="C52" s="0" t="s">
        <v>162</v>
      </c>
    </row>
    <row r="53" customFormat="false" ht="13.5" hidden="false" customHeight="false" outlineLevel="0" collapsed="false">
      <c r="A53" s="0" t="s">
        <v>125</v>
      </c>
      <c r="B53" s="0" t="n">
        <v>1.15</v>
      </c>
      <c r="C53" s="0" t="s">
        <v>163</v>
      </c>
    </row>
    <row r="56" customFormat="false" ht="13.5" hidden="false" customHeight="false" outlineLevel="0" collapsed="false">
      <c r="A56" s="5" t="s">
        <v>164</v>
      </c>
    </row>
    <row r="57" customFormat="false" ht="13.5" hidden="false" customHeight="false" outlineLevel="0" collapsed="false">
      <c r="A57" s="5" t="s">
        <v>165</v>
      </c>
      <c r="B57" s="5" t="s">
        <v>166</v>
      </c>
      <c r="C57" s="5" t="s">
        <v>167</v>
      </c>
    </row>
    <row r="58" customFormat="false" ht="13.5" hidden="false" customHeight="false" outlineLevel="0" collapsed="false">
      <c r="A58" s="0" t="n">
        <v>0</v>
      </c>
      <c r="B58" s="0" t="n">
        <v>50000000</v>
      </c>
      <c r="C58" s="0" t="n">
        <v>400000</v>
      </c>
    </row>
    <row r="59" customFormat="false" ht="13.5" hidden="false" customHeight="false" outlineLevel="0" collapsed="false">
      <c r="A59" s="0" t="n">
        <v>50000000</v>
      </c>
      <c r="B59" s="0" t="n">
        <v>250000000</v>
      </c>
      <c r="C59" s="0" t="n">
        <v>1000000</v>
      </c>
    </row>
    <row r="60" customFormat="false" ht="13.5" hidden="false" customHeight="false" outlineLevel="0" collapsed="false">
      <c r="A60" s="0" t="n">
        <v>250000000</v>
      </c>
      <c r="B60" s="0" t="n">
        <v>9.9E+099</v>
      </c>
      <c r="C60" s="0" t="n">
        <v>2500000</v>
      </c>
    </row>
    <row r="63" customFormat="false" ht="13.5" hidden="false" customHeight="false" outlineLevel="0" collapsed="false">
      <c r="A63" s="5" t="s">
        <v>168</v>
      </c>
    </row>
    <row r="64" customFormat="false" ht="13.5" hidden="false" customHeight="false" outlineLevel="0" collapsed="false">
      <c r="A64" s="5" t="s">
        <v>159</v>
      </c>
      <c r="B64" s="5" t="s">
        <v>169</v>
      </c>
      <c r="C64" s="5" t="s">
        <v>147</v>
      </c>
    </row>
    <row r="65" customFormat="false" ht="13.5" hidden="false" customHeight="false" outlineLevel="0" collapsed="false">
      <c r="A65" s="0" t="s">
        <v>122</v>
      </c>
      <c r="B65" s="0" t="n">
        <v>0.85</v>
      </c>
      <c r="C65" s="0" t="s">
        <v>170</v>
      </c>
    </row>
    <row r="66" customFormat="false" ht="13.5" hidden="false" customHeight="false" outlineLevel="0" collapsed="false">
      <c r="A66" s="0" t="s">
        <v>124</v>
      </c>
      <c r="B66" s="0" t="n">
        <v>1</v>
      </c>
      <c r="C66" s="0" t="s">
        <v>162</v>
      </c>
    </row>
    <row r="67" customFormat="false" ht="13.5" hidden="false" customHeight="false" outlineLevel="0" collapsed="false">
      <c r="A67" s="0" t="s">
        <v>125</v>
      </c>
      <c r="B67" s="0" t="n">
        <v>1.15</v>
      </c>
      <c r="C67" s="0" t="s">
        <v>171</v>
      </c>
    </row>
    <row r="70" customFormat="false" ht="13.5" hidden="false" customHeight="false" outlineLevel="0" collapsed="false">
      <c r="A70" s="5" t="s">
        <v>172</v>
      </c>
    </row>
    <row r="71" customFormat="false" ht="13.5" hidden="false" customHeight="false" outlineLevel="0" collapsed="false">
      <c r="A71" s="5" t="s">
        <v>173</v>
      </c>
      <c r="B71" s="5" t="s">
        <v>174</v>
      </c>
      <c r="C71" s="5" t="s">
        <v>147</v>
      </c>
    </row>
    <row r="72" customFormat="false" ht="13.5" hidden="false" customHeight="false" outlineLevel="0" collapsed="false">
      <c r="A72" s="0" t="s">
        <v>175</v>
      </c>
      <c r="B72" s="0" t="n">
        <v>0.5</v>
      </c>
      <c r="C72" s="0" t="s">
        <v>176</v>
      </c>
    </row>
    <row r="73" customFormat="false" ht="13.5" hidden="false" customHeight="false" outlineLevel="0" collapsed="false">
      <c r="A73" s="0" t="s">
        <v>177</v>
      </c>
      <c r="B73" s="0" t="n">
        <v>0.5</v>
      </c>
      <c r="C73" s="0" t="s">
        <v>178</v>
      </c>
    </row>
    <row r="74" customFormat="false" ht="13.5" hidden="false" customHeight="false" outlineLevel="0" collapsed="false">
      <c r="A74" s="0" t="s">
        <v>179</v>
      </c>
      <c r="B74" s="0" t="n">
        <v>0.5</v>
      </c>
      <c r="C74" s="0" t="s">
        <v>180</v>
      </c>
    </row>
    <row r="77" customFormat="false" ht="13.5" hidden="false" customHeight="false" outlineLevel="0" collapsed="false">
      <c r="A77" s="5" t="s">
        <v>181</v>
      </c>
    </row>
    <row r="78" customFormat="false" ht="13.5" hidden="false" customHeight="false" outlineLevel="0" collapsed="false">
      <c r="A78" s="5" t="s">
        <v>159</v>
      </c>
      <c r="B78" s="5" t="s">
        <v>182</v>
      </c>
      <c r="C78" s="5" t="s">
        <v>147</v>
      </c>
    </row>
    <row r="79" customFormat="false" ht="13.5" hidden="false" customHeight="false" outlineLevel="0" collapsed="false">
      <c r="A79" s="0" t="s">
        <v>122</v>
      </c>
      <c r="B79" s="0" t="n">
        <v>0.9</v>
      </c>
      <c r="C79" s="0" t="s">
        <v>183</v>
      </c>
    </row>
    <row r="80" customFormat="false" ht="13.5" hidden="false" customHeight="false" outlineLevel="0" collapsed="false">
      <c r="A80" s="0" t="s">
        <v>124</v>
      </c>
      <c r="B80" s="0" t="n">
        <v>1</v>
      </c>
      <c r="C80" s="0" t="s">
        <v>162</v>
      </c>
    </row>
    <row r="81" customFormat="false" ht="13.5" hidden="false" customHeight="false" outlineLevel="0" collapsed="false">
      <c r="A81" s="0" t="s">
        <v>125</v>
      </c>
      <c r="B81" s="0" t="n">
        <v>1.1</v>
      </c>
      <c r="C81" s="0" t="s">
        <v>184</v>
      </c>
    </row>
    <row r="84" customFormat="false" ht="13.5" hidden="false" customHeight="false" outlineLevel="0" collapsed="false">
      <c r="A84" s="5" t="s">
        <v>185</v>
      </c>
    </row>
    <row r="85" customFormat="false" ht="13.5" hidden="false" customHeight="false" outlineLevel="0" collapsed="false">
      <c r="A85" s="5" t="s">
        <v>186</v>
      </c>
      <c r="B85" s="5" t="s">
        <v>187</v>
      </c>
      <c r="C85" s="5" t="s">
        <v>188</v>
      </c>
    </row>
    <row r="86" customFormat="false" ht="13.5" hidden="false" customHeight="false" outlineLevel="0" collapsed="false">
      <c r="A86" s="0" t="s">
        <v>189</v>
      </c>
      <c r="B86" s="0" t="s">
        <v>122</v>
      </c>
      <c r="C86" s="0" t="n">
        <v>0.002</v>
      </c>
    </row>
    <row r="87" customFormat="false" ht="13.5" hidden="false" customHeight="false" outlineLevel="0" collapsed="false">
      <c r="A87" s="0" t="s">
        <v>189</v>
      </c>
      <c r="B87" s="0" t="s">
        <v>124</v>
      </c>
      <c r="C87" s="0" t="n">
        <v>0.004</v>
      </c>
    </row>
    <row r="88" customFormat="false" ht="13.5" hidden="false" customHeight="false" outlineLevel="0" collapsed="false">
      <c r="A88" s="0" t="s">
        <v>189</v>
      </c>
      <c r="B88" s="0" t="s">
        <v>125</v>
      </c>
      <c r="C88" s="0" t="n">
        <v>0.008</v>
      </c>
    </row>
    <row r="89" customFormat="false" ht="13.5" hidden="false" customHeight="false" outlineLevel="0" collapsed="false">
      <c r="A89" s="0" t="s">
        <v>190</v>
      </c>
      <c r="B89" s="0" t="s">
        <v>122</v>
      </c>
      <c r="C89" s="0" t="n">
        <v>0.003</v>
      </c>
    </row>
    <row r="90" customFormat="false" ht="13.5" hidden="false" customHeight="false" outlineLevel="0" collapsed="false">
      <c r="A90" s="0" t="s">
        <v>190</v>
      </c>
      <c r="B90" s="0" t="s">
        <v>124</v>
      </c>
      <c r="C90" s="0" t="n">
        <v>0.006</v>
      </c>
    </row>
    <row r="91" customFormat="false" ht="13.5" hidden="false" customHeight="false" outlineLevel="0" collapsed="false">
      <c r="A91" s="0" t="s">
        <v>190</v>
      </c>
      <c r="B91" s="0" t="s">
        <v>125</v>
      </c>
      <c r="C91" s="0" t="n">
        <v>0.012</v>
      </c>
    </row>
    <row r="94" customFormat="false" ht="13.5" hidden="false" customHeight="false" outlineLevel="0" collapsed="false">
      <c r="A94" s="5" t="s">
        <v>191</v>
      </c>
    </row>
    <row r="95" customFormat="false" ht="13.5" hidden="false" customHeight="false" outlineLevel="0" collapsed="false">
      <c r="A95" s="5" t="s">
        <v>173</v>
      </c>
      <c r="B95" s="5" t="s">
        <v>174</v>
      </c>
      <c r="C95" s="5" t="s">
        <v>147</v>
      </c>
    </row>
    <row r="96" customFormat="false" ht="13.5" hidden="false" customHeight="false" outlineLevel="0" collapsed="false">
      <c r="A96" s="0" t="s">
        <v>192</v>
      </c>
      <c r="B96" s="0" t="n">
        <v>0.5</v>
      </c>
      <c r="C96" s="0" t="s">
        <v>193</v>
      </c>
    </row>
    <row r="97" customFormat="false" ht="13.5" hidden="false" customHeight="false" outlineLevel="0" collapsed="false">
      <c r="A97" s="0" t="s">
        <v>194</v>
      </c>
      <c r="B97" s="0" t="n">
        <v>0.8</v>
      </c>
      <c r="C97" s="0" t="s">
        <v>195</v>
      </c>
    </row>
    <row r="98" customFormat="false" ht="13.5" hidden="false" customHeight="false" outlineLevel="0" collapsed="false">
      <c r="A98" s="0" t="s">
        <v>196</v>
      </c>
      <c r="B98" s="0" t="n">
        <v>1.2</v>
      </c>
      <c r="C98" s="0" t="s">
        <v>197</v>
      </c>
    </row>
    <row r="99" customFormat="false" ht="13.5" hidden="false" customHeight="false" outlineLevel="0" collapsed="false">
      <c r="A99" s="0" t="s">
        <v>198</v>
      </c>
      <c r="B99" s="0" t="n">
        <v>0.4</v>
      </c>
      <c r="C99" s="0" t="s">
        <v>199</v>
      </c>
    </row>
    <row r="102" customFormat="false" ht="13.5" hidden="false" customHeight="false" outlineLevel="0" collapsed="false">
      <c r="A102" s="5" t="s">
        <v>200</v>
      </c>
    </row>
    <row r="103" customFormat="false" ht="13.5" hidden="false" customHeight="false" outlineLevel="0" collapsed="false">
      <c r="A103" s="5" t="s">
        <v>165</v>
      </c>
      <c r="B103" s="5" t="s">
        <v>166</v>
      </c>
      <c r="C103" s="5" t="s">
        <v>201</v>
      </c>
    </row>
    <row r="104" customFormat="false" ht="13.5" hidden="false" customHeight="false" outlineLevel="0" collapsed="false">
      <c r="A104" s="0" t="n">
        <v>0</v>
      </c>
      <c r="B104" s="0" t="n">
        <v>50000000</v>
      </c>
      <c r="C104" s="0" t="n">
        <v>250000</v>
      </c>
    </row>
    <row r="105" customFormat="false" ht="13.5" hidden="false" customHeight="false" outlineLevel="0" collapsed="false">
      <c r="A105" s="0" t="n">
        <v>50000000</v>
      </c>
      <c r="B105" s="0" t="n">
        <v>250000000</v>
      </c>
      <c r="C105" s="0" t="n">
        <v>700000</v>
      </c>
    </row>
    <row r="106" customFormat="false" ht="13.5" hidden="false" customHeight="false" outlineLevel="0" collapsed="false">
      <c r="A106" s="0" t="n">
        <v>250000000</v>
      </c>
      <c r="B106" s="0" t="n">
        <v>9.9E+099</v>
      </c>
      <c r="C106" s="0" t="n">
        <v>1800000</v>
      </c>
    </row>
    <row r="109" customFormat="false" ht="13.5" hidden="false" customHeight="false" outlineLevel="0" collapsed="false">
      <c r="A109" s="5" t="s">
        <v>202</v>
      </c>
    </row>
    <row r="110" customFormat="false" ht="13.5" hidden="false" customHeight="false" outlineLevel="0" collapsed="false">
      <c r="A110" s="5" t="s">
        <v>173</v>
      </c>
      <c r="B110" s="5" t="s">
        <v>174</v>
      </c>
      <c r="C110" s="5" t="s">
        <v>147</v>
      </c>
    </row>
    <row r="111" customFormat="false" ht="13.5" hidden="false" customHeight="false" outlineLevel="0" collapsed="false">
      <c r="A111" s="0" t="s">
        <v>203</v>
      </c>
      <c r="B111" s="0" t="n">
        <v>0.6</v>
      </c>
      <c r="C111" s="0" t="s">
        <v>204</v>
      </c>
    </row>
    <row r="112" customFormat="false" ht="13.5" hidden="false" customHeight="false" outlineLevel="0" collapsed="false">
      <c r="A112" s="0" t="s">
        <v>205</v>
      </c>
      <c r="B112" s="0" t="n">
        <v>0.5</v>
      </c>
      <c r="C112" s="0" t="s">
        <v>206</v>
      </c>
    </row>
    <row r="113" customFormat="false" ht="13.5" hidden="false" customHeight="false" outlineLevel="0" collapsed="false">
      <c r="A113" s="0" t="s">
        <v>207</v>
      </c>
      <c r="B113" s="0" t="n">
        <v>0.5</v>
      </c>
      <c r="C113" s="0" t="s">
        <v>208</v>
      </c>
    </row>
    <row r="116" customFormat="false" ht="13.5" hidden="false" customHeight="false" outlineLevel="0" collapsed="false">
      <c r="A116" s="5" t="s">
        <v>209</v>
      </c>
    </row>
    <row r="117" customFormat="false" ht="13.5" hidden="false" customHeight="false" outlineLevel="0" collapsed="false">
      <c r="A117" s="5" t="s">
        <v>210</v>
      </c>
      <c r="B117" s="5" t="s">
        <v>211</v>
      </c>
    </row>
    <row r="118" customFormat="false" ht="13.5" hidden="false" customHeight="false" outlineLevel="0" collapsed="false">
      <c r="A118" s="0" t="s">
        <v>189</v>
      </c>
      <c r="B118" s="0" t="n">
        <v>0.0015</v>
      </c>
    </row>
    <row r="119" customFormat="false" ht="13.5" hidden="false" customHeight="false" outlineLevel="0" collapsed="false">
      <c r="A119" s="0" t="s">
        <v>190</v>
      </c>
      <c r="B119" s="0" t="n">
        <v>0.004</v>
      </c>
    </row>
    <row r="121" customFormat="false" ht="13.5" hidden="false" customHeight="false" outlineLevel="0" collapsed="false">
      <c r="A121" s="5" t="s">
        <v>212</v>
      </c>
    </row>
    <row r="122" customFormat="false" ht="13.5" hidden="false" customHeight="false" outlineLevel="0" collapsed="false">
      <c r="A122" s="5" t="s">
        <v>173</v>
      </c>
      <c r="B122" s="5" t="s">
        <v>174</v>
      </c>
      <c r="C122" s="5" t="s">
        <v>147</v>
      </c>
    </row>
    <row r="123" customFormat="false" ht="13.5" hidden="false" customHeight="false" outlineLevel="0" collapsed="false">
      <c r="A123" s="0" t="s">
        <v>213</v>
      </c>
      <c r="B123" s="0" t="n">
        <v>0.5</v>
      </c>
      <c r="C123" s="0" t="s">
        <v>214</v>
      </c>
    </row>
    <row r="124" customFormat="false" ht="13.5" hidden="false" customHeight="false" outlineLevel="0" collapsed="false">
      <c r="A124" s="0" t="s">
        <v>215</v>
      </c>
      <c r="B124" s="0" t="n">
        <v>0.5</v>
      </c>
      <c r="C124" s="0" t="s">
        <v>216</v>
      </c>
    </row>
    <row r="125" customFormat="false" ht="13.5" hidden="false" customHeight="false" outlineLevel="0" collapsed="false">
      <c r="A125" s="0" t="s">
        <v>217</v>
      </c>
      <c r="B125" s="0" t="n">
        <v>0.5</v>
      </c>
      <c r="C125" s="0" t="s">
        <v>218</v>
      </c>
    </row>
    <row r="126" customFormat="false" ht="13.5" hidden="false" customHeight="false" outlineLevel="0" collapsed="false">
      <c r="A126" s="0" t="s">
        <v>219</v>
      </c>
      <c r="B126" s="0" t="n">
        <v>1.5</v>
      </c>
      <c r="C126" s="0" t="s">
        <v>220</v>
      </c>
    </row>
    <row r="129" customFormat="false" ht="13.5" hidden="false" customHeight="false" outlineLevel="0" collapsed="false">
      <c r="A129" s="5" t="s">
        <v>221</v>
      </c>
    </row>
    <row r="130" customFormat="false" ht="13.5" hidden="false" customHeight="false" outlineLevel="0" collapsed="false">
      <c r="A130" s="5" t="s">
        <v>222</v>
      </c>
      <c r="B130" s="5" t="s">
        <v>223</v>
      </c>
      <c r="C130" s="5" t="s">
        <v>224</v>
      </c>
    </row>
    <row r="131" customFormat="false" ht="13.5" hidden="false" customHeight="false" outlineLevel="0" collapsed="false">
      <c r="A131" s="0" t="n">
        <v>0</v>
      </c>
      <c r="B131" s="0" t="n">
        <v>50000000</v>
      </c>
      <c r="C131" s="0" t="n">
        <v>150000</v>
      </c>
    </row>
    <row r="132" customFormat="false" ht="13.5" hidden="false" customHeight="false" outlineLevel="0" collapsed="false">
      <c r="A132" s="0" t="n">
        <v>50000000</v>
      </c>
      <c r="B132" s="0" t="n">
        <v>250000000</v>
      </c>
      <c r="C132" s="0" t="n">
        <v>400000</v>
      </c>
    </row>
    <row r="133" customFormat="false" ht="13.5" hidden="false" customHeight="false" outlineLevel="0" collapsed="false">
      <c r="A133" s="0" t="n">
        <v>250000000</v>
      </c>
      <c r="B133" s="0" t="n">
        <v>10000000000</v>
      </c>
      <c r="C133" s="0" t="n">
        <v>900000</v>
      </c>
    </row>
    <row r="135" customFormat="false" ht="13.5" hidden="false" customHeight="false" outlineLevel="0" collapsed="false">
      <c r="A135" s="0" t="s">
        <v>225</v>
      </c>
      <c r="B135" s="0" t="n">
        <v>0.4</v>
      </c>
    </row>
    <row r="138" customFormat="false" ht="13.5" hidden="false" customHeight="false" outlineLevel="0" collapsed="false">
      <c r="A138" s="5" t="s">
        <v>226</v>
      </c>
    </row>
    <row r="139" customFormat="false" ht="13.5" hidden="false" customHeight="false" outlineLevel="0" collapsed="false">
      <c r="A139" s="5" t="s">
        <v>227</v>
      </c>
      <c r="B139" s="5" t="s">
        <v>228</v>
      </c>
      <c r="C139" s="5" t="s">
        <v>229</v>
      </c>
    </row>
    <row r="140" customFormat="false" ht="13.5" hidden="false" customHeight="false" outlineLevel="0" collapsed="false">
      <c r="A140" s="0" t="s">
        <v>230</v>
      </c>
      <c r="B140" s="0" t="n">
        <v>0.02</v>
      </c>
      <c r="C140" s="0" t="n">
        <v>75000000</v>
      </c>
    </row>
    <row r="141" customFormat="false" ht="13.5" hidden="false" customHeight="false" outlineLevel="0" collapsed="false">
      <c r="A141" s="0" t="s">
        <v>231</v>
      </c>
      <c r="B141" s="0" t="n">
        <v>0.04</v>
      </c>
      <c r="C141" s="0" t="n">
        <v>150000000</v>
      </c>
    </row>
    <row r="142" customFormat="false" ht="13.5" hidden="false" customHeight="false" outlineLevel="0" collapsed="false">
      <c r="A142" s="32" t="s">
        <v>232</v>
      </c>
      <c r="B142" s="0" t="n">
        <v>0.02</v>
      </c>
      <c r="C142" s="0" t="n">
        <v>75000000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3"/>
  <sheetViews>
    <sheetView showFormulas="false" showGridLines="false" showRowColHeaders="true" showZeros="true" rightToLeft="false" tabSelected="true" showOutlineSymbols="true" defaultGridColor="true" view="normal" topLeftCell="A11" colorId="64" zoomScale="150" zoomScaleNormal="150" zoomScalePageLayoutView="100" workbookViewId="0">
      <selection pane="topLeft" activeCell="A116" activeCellId="0" sqref="A116"/>
    </sheetView>
  </sheetViews>
  <sheetFormatPr defaultColWidth="8.8359375" defaultRowHeight="13.5" customHeight="false"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50"/>
  </cols>
  <sheetData>
    <row r="1" customFormat="false" ht="15.75" hidden="false" customHeight="true" outlineLevel="0" collapsed="false">
      <c r="A1" s="33" t="s">
        <v>233</v>
      </c>
    </row>
    <row r="2" customFormat="false" ht="27.75" hidden="false" customHeight="true" outlineLevel="0" collapsed="false">
      <c r="A2" s="21" t="s">
        <v>234</v>
      </c>
    </row>
    <row r="4" customFormat="false" ht="13.5" hidden="false" customHeight="false" outlineLevel="0" collapsed="false">
      <c r="A4" s="19" t="s">
        <v>235</v>
      </c>
      <c r="B4" s="34" t="n">
        <v>1</v>
      </c>
    </row>
    <row r="6" customFormat="false" ht="21.75" hidden="false" customHeight="true" outlineLevel="0" collapsed="false">
      <c r="A6" s="24" t="s">
        <v>236</v>
      </c>
      <c r="B6" s="24" t="s">
        <v>174</v>
      </c>
      <c r="C6" s="24" t="s">
        <v>59</v>
      </c>
    </row>
    <row r="7" customFormat="false" ht="16.4" hidden="false" customHeight="false" outlineLevel="0" collapsed="false">
      <c r="A7" s="35" t="s">
        <v>237</v>
      </c>
      <c r="B7" s="36" t="n">
        <f aca="false">VLOOKUP($B$4,DT_Scenarios!$A$5:$H$200,3,FALSE())</f>
        <v>75000000</v>
      </c>
      <c r="C7" s="18" t="s">
        <v>238</v>
      </c>
    </row>
    <row r="8" customFormat="false" ht="16.4" hidden="false" customHeight="false" outlineLevel="0" collapsed="false">
      <c r="A8" s="35" t="s">
        <v>239</v>
      </c>
      <c r="B8" s="37" t="n">
        <f aca="false">IF(ISBLANK(VLOOKUP($B$4,DT_Scenarios!$A$5:$H$200,7,FALSE())),DT_Config!$B$4,VLOOKUP($B$4,DT_Scenarios!$A$5:$H$200,7,FALSE()))</f>
        <v>220</v>
      </c>
      <c r="C8" s="18" t="s">
        <v>240</v>
      </c>
    </row>
    <row r="9" customFormat="false" ht="16.4" hidden="false" customHeight="false" outlineLevel="0" collapsed="false">
      <c r="A9" s="35" t="s">
        <v>241</v>
      </c>
      <c r="B9" s="36" t="n">
        <f aca="false">B7/B8</f>
        <v>340909.090909091</v>
      </c>
      <c r="C9" s="18" t="s">
        <v>242</v>
      </c>
    </row>
    <row r="10" customFormat="false" ht="27.75" hidden="false" customHeight="true" outlineLevel="0" collapsed="false">
      <c r="A10" s="35" t="s">
        <v>243</v>
      </c>
      <c r="B10" s="20" t="str">
        <f aca="false">IF(ISBLANK(INDEX(DT_Scenarios!$E:$E,MATCH($B$4,DT_Scenarios!$A:$A,0))),INDEX(DT_Scenarios!$U:$U,MATCH($B$4,DT_Scenarios!$A:$A,0)),INDEX(DT_Scenarios!$E:$E,MATCH($B$4,DT_Scenarios!$A:$A,0)))</f>
        <v>High</v>
      </c>
      <c r="C10" s="18" t="s">
        <v>244</v>
      </c>
    </row>
    <row r="11" customFormat="false" ht="16.4" hidden="false" customHeight="false" outlineLevel="0" collapsed="false">
      <c r="A11" s="35" t="s">
        <v>245</v>
      </c>
      <c r="B11" s="38" t="n">
        <f aca="false">INDEX(tbl_IT_Dependency[Factor], MATCH(B10, tbl_IT_Dependency[Level], 0))</f>
        <v>0.9</v>
      </c>
      <c r="C11" s="18" t="s">
        <v>246</v>
      </c>
    </row>
    <row r="12" customFormat="false" ht="16.4" hidden="false" customHeight="false" outlineLevel="0" collapsed="false">
      <c r="A12" s="35" t="s">
        <v>128</v>
      </c>
      <c r="B12" s="20" t="str">
        <f aca="false">VLOOKUP($B$4,DT_Scenarios!$A$5:$H$200,4,FALSE())</f>
        <v>J – IT/Telecom</v>
      </c>
      <c r="C12" s="18" t="s">
        <v>247</v>
      </c>
    </row>
    <row r="13" customFormat="false" ht="16.4" hidden="false" customHeight="false" outlineLevel="0" collapsed="false">
      <c r="A13" s="35" t="s">
        <v>248</v>
      </c>
      <c r="B13" s="38" t="n">
        <f aca="false">INDEX(tbl_Sector_Factors[Factor], MATCH(B12, tbl_Sector_Factors[Sector], 0))</f>
        <v>0.984649122807018</v>
      </c>
      <c r="C13" s="18" t="s">
        <v>246</v>
      </c>
    </row>
    <row r="14" customFormat="false" ht="16.4" hidden="false" customHeight="false" outlineLevel="0" collapsed="false">
      <c r="A14" s="39" t="s">
        <v>249</v>
      </c>
      <c r="B14" s="36" t="n">
        <f aca="false">B9*B11*B13</f>
        <v>302108.253588517</v>
      </c>
      <c r="C14" s="18" t="s">
        <v>250</v>
      </c>
    </row>
    <row r="15" customFormat="false" ht="27.75" hidden="false" customHeight="true" outlineLevel="0" collapsed="false">
      <c r="A15" s="35" t="s">
        <v>251</v>
      </c>
      <c r="B15" s="40" t="n">
        <f aca="false">IF(INDEX(DT_Scenarios!$F:$F,MATCH($B$4,DT_Scenarios!$A:$A,0))="",INDEX(DT_Scenarios!$P:$P,MATCH($B$4,DT_Scenarios!$A:$A,0)),INDEX(DT_Scenarios!$F:$F,MATCH($B$4,DT_Scenarios!$A:$A,0)))</f>
        <v>12.5</v>
      </c>
      <c r="C15" s="18" t="s">
        <v>252</v>
      </c>
    </row>
    <row r="16" customFormat="false" ht="16.4" hidden="false" customHeight="false" outlineLevel="0" collapsed="false">
      <c r="A16" s="35" t="s">
        <v>253</v>
      </c>
      <c r="B16" s="41" t="n">
        <f aca="false">MAX(0.5, 3 - (B15/100)*2.5)</f>
        <v>2.6875</v>
      </c>
      <c r="C16" s="18" t="s">
        <v>254</v>
      </c>
    </row>
    <row r="17" customFormat="false" ht="16.4" hidden="false" customHeight="false" outlineLevel="0" collapsed="false">
      <c r="A17" s="39" t="s">
        <v>255</v>
      </c>
      <c r="B17" s="36" t="n">
        <f aca="false">B14*B16</f>
        <v>811915.931519139</v>
      </c>
      <c r="C17" s="18" t="s">
        <v>256</v>
      </c>
    </row>
    <row r="18" customFormat="false" ht="16.4" hidden="false" customHeight="false" outlineLevel="0" collapsed="false">
      <c r="A18" s="39" t="s">
        <v>257</v>
      </c>
      <c r="B18" s="36" t="n">
        <f aca="false">B17*0.7</f>
        <v>568341.152063397</v>
      </c>
      <c r="C18" s="18" t="s">
        <v>258</v>
      </c>
    </row>
    <row r="19" customFormat="false" ht="16.4" hidden="false" customHeight="false" outlineLevel="0" collapsed="false">
      <c r="A19" s="39" t="s">
        <v>259</v>
      </c>
      <c r="B19" s="36" t="n">
        <f aca="false">B17*1.3</f>
        <v>1055490.71097488</v>
      </c>
      <c r="C19" s="18" t="s">
        <v>260</v>
      </c>
    </row>
    <row r="21" customFormat="false" ht="13.5" hidden="false" customHeight="false" outlineLevel="0" collapsed="false">
      <c r="A21" s="42" t="s">
        <v>261</v>
      </c>
      <c r="B21" s="42"/>
      <c r="C21" s="42"/>
    </row>
    <row r="22" customFormat="false" ht="13.5" hidden="false" customHeight="false" outlineLevel="0" collapsed="false">
      <c r="A22" s="25" t="s">
        <v>262</v>
      </c>
      <c r="B22" s="43" t="b">
        <f aca="false">OR(B11=0.3,B11=0.6,B11=0.9)</f>
        <v>1</v>
      </c>
      <c r="C22" s="31" t="s">
        <v>263</v>
      </c>
    </row>
    <row r="23" customFormat="false" ht="13.5" hidden="false" customHeight="false" outlineLevel="0" collapsed="false">
      <c r="A23" s="25" t="s">
        <v>264</v>
      </c>
      <c r="B23" s="43" t="b">
        <f aca="false">AND(B13&gt;=0.9,B13&lt;=1.1)</f>
        <v>1</v>
      </c>
      <c r="C23" s="31" t="s">
        <v>263</v>
      </c>
    </row>
    <row r="24" customFormat="false" ht="13.5" hidden="false" customHeight="false" outlineLevel="0" collapsed="false">
      <c r="A24" s="25" t="s">
        <v>265</v>
      </c>
      <c r="B24" s="44" t="b">
        <f aca="false">AND(B16&gt;=0.5,B16&lt;=3)</f>
        <v>1</v>
      </c>
      <c r="C24" s="31" t="s">
        <v>263</v>
      </c>
    </row>
    <row r="25" customFormat="false" ht="13.5" hidden="false" customHeight="false" outlineLevel="0" collapsed="false">
      <c r="A25" s="25" t="s">
        <v>266</v>
      </c>
      <c r="B25" s="43" t="b">
        <f aca="false">AND(B18&lt;B17,B17&lt;B19)</f>
        <v>1</v>
      </c>
      <c r="C25" s="31" t="s">
        <v>263</v>
      </c>
    </row>
    <row r="29" customFormat="false" ht="13.5" hidden="false" customHeight="false" outlineLevel="0" collapsed="false">
      <c r="B29" s="20"/>
    </row>
    <row r="32" customFormat="false" ht="13.5" hidden="false" customHeight="false" outlineLevel="0" collapsed="false">
      <c r="A32" s="5" t="s">
        <v>267</v>
      </c>
    </row>
    <row r="33" customFormat="false" ht="13.5" hidden="false" customHeight="false" outlineLevel="0" collapsed="false">
      <c r="A33" s="0" t="s">
        <v>268</v>
      </c>
      <c r="B33" s="0" t="s">
        <v>269</v>
      </c>
    </row>
    <row r="35" customFormat="false" ht="13.5" hidden="false" customHeight="false" outlineLevel="0" collapsed="false">
      <c r="A35" s="0" t="s">
        <v>270</v>
      </c>
      <c r="B35" s="0" t="n">
        <f aca="false">IF(B7&lt;50000000,500000,IF(B7&lt;250000000,1200000,3000000))</f>
        <v>1200000</v>
      </c>
    </row>
    <row r="36" customFormat="false" ht="13.5" hidden="false" customHeight="false" outlineLevel="0" collapsed="false">
      <c r="A36" s="0" t="s">
        <v>271</v>
      </c>
      <c r="B36" s="0" t="n">
        <f aca="false">IFERROR(SUM(IFERROR(INDEX(DT_Scenarios!$K:$K,MATCH($B$4,DT_Scenarios!$A:$A,0)),""),IFERROR(INDEX(DT_Scenarios!$L:$L,MATCH($B$4,DT_Scenarios!$A:$A,0)),""),IFERROR(INDEX(DT_Scenarios!$M:$M,MATCH($B$4,DT_Scenarios!$A:$A,0)),""))/MAX(1,COUNT(INDEX(DT_Scenarios!$K:$K,MATCH($B$4,DT_Scenarios!$A:$A,0)),INDEX(DT_Scenarios!$L:$L,MATCH($B$4,DT_Scenarios!$A:$A,0)),INDEX(DT_Scenarios!$M:$M,MATCH($B$4,DT_Scenarios!$A:$A,0)))),3)</f>
        <v>1</v>
      </c>
    </row>
    <row r="37" customFormat="false" ht="13.5" hidden="false" customHeight="false" outlineLevel="0" collapsed="false">
      <c r="A37" s="0" t="s">
        <v>272</v>
      </c>
      <c r="B37" s="0" t="n">
        <f aca="false">1.3 - ((B36 - 1)/4) * 0.5</f>
        <v>1.3</v>
      </c>
    </row>
    <row r="38" customFormat="false" ht="13.5" hidden="false" customHeight="false" outlineLevel="0" collapsed="false">
      <c r="A38" s="0" t="s">
        <v>273</v>
      </c>
      <c r="B38" s="0" t="n">
        <f aca="false">INDEX(tbl_IR_Dependency[IR_Dependency_Multiplier], MATCH(B10, tbl_IR_Dependency[IT Dependency Level], 0))</f>
        <v>1.15</v>
      </c>
    </row>
    <row r="39" customFormat="false" ht="13.5" hidden="false" customHeight="false" outlineLevel="0" collapsed="false">
      <c r="A39" s="0" t="s">
        <v>274</v>
      </c>
      <c r="B39" s="0" t="n">
        <f aca="false">B35*B37*B38</f>
        <v>1794000</v>
      </c>
    </row>
    <row r="42" customFormat="false" ht="13.5" hidden="false" customHeight="false" outlineLevel="0" collapsed="false">
      <c r="A42" s="5" t="s">
        <v>275</v>
      </c>
    </row>
    <row r="43" customFormat="false" ht="13.5" hidden="false" customHeight="false" outlineLevel="0" collapsed="false">
      <c r="A43" s="0" t="s">
        <v>268</v>
      </c>
      <c r="B43" s="0" t="s">
        <v>276</v>
      </c>
    </row>
    <row r="45" customFormat="false" ht="13.5" hidden="false" customHeight="false" outlineLevel="0" collapsed="false">
      <c r="A45" s="0" t="s">
        <v>277</v>
      </c>
      <c r="B45" s="0" t="n">
        <f aca="false">INDEX(tbl_Restore_Base[Restore_Base_Mid],MATCH($B$7,tbl_Restore_Base[Min Revenue (DKK)],1))</f>
        <v>1000000</v>
      </c>
    </row>
    <row r="46" customFormat="false" ht="13.5" hidden="false" customHeight="false" outlineLevel="0" collapsed="false">
      <c r="A46" s="0" t="s">
        <v>278</v>
      </c>
      <c r="B46" s="0" t="n">
        <f aca="false">IFERROR(AVERAGE(IFERROR(INDEX(DT_Scenarios!$H:$H,MATCH($B$4,DT_Scenarios!$A:$A,0)),1),IFERROR(INDEX(DT_Scenarios!$I:$I,MATCH($B$4,DT_Scenarios!$A:$A,0)),1),IFERROR(INDEX(DT_Scenarios!$J:$J,MATCH($B$4,DT_Scenarios!$A:$A,0)),1)),1)</f>
        <v>2.33333333333333</v>
      </c>
    </row>
    <row r="47" customFormat="false" ht="13.5" hidden="false" customHeight="false" outlineLevel="0" collapsed="false">
      <c r="A47" s="0" t="s">
        <v>279</v>
      </c>
      <c r="B47" s="0" t="n">
        <f aca="false">1.3 - ((B46 - 1)/4) * 0.5</f>
        <v>1.13333333333333</v>
      </c>
    </row>
    <row r="48" customFormat="false" ht="13.5" hidden="false" customHeight="false" outlineLevel="0" collapsed="false">
      <c r="A48" s="0" t="s">
        <v>168</v>
      </c>
      <c r="B48" s="0" t="n">
        <f aca="false">INDEX(tbl_Restore_Dependency[Restore_Dependency_Multiplier], MATCH(B10, tbl_Restore_Dependency[IT Dependency Level], 0))</f>
        <v>1.15</v>
      </c>
    </row>
    <row r="49" customFormat="false" ht="13.5" hidden="false" customHeight="false" outlineLevel="0" collapsed="false">
      <c r="A49" s="0" t="s">
        <v>280</v>
      </c>
      <c r="B49" s="0" t="n">
        <f aca="false">B45*B47*B48</f>
        <v>1303333.33333333</v>
      </c>
    </row>
    <row r="52" customFormat="false" ht="13.5" hidden="false" customHeight="false" outlineLevel="0" collapsed="false">
      <c r="A52" s="5" t="s">
        <v>281</v>
      </c>
    </row>
    <row r="53" customFormat="false" ht="13.5" hidden="false" customHeight="false" outlineLevel="0" collapsed="false">
      <c r="A53" s="0" t="s">
        <v>268</v>
      </c>
      <c r="B53" s="0" t="s">
        <v>282</v>
      </c>
    </row>
    <row r="55" customFormat="false" ht="13.5" hidden="false" customHeight="false" outlineLevel="0" collapsed="false">
      <c r="A55" s="0" t="s">
        <v>283</v>
      </c>
      <c r="B55" s="0" t="n">
        <f aca="false">INDEX(tbl_EBI_Params[Value], MATCH("EBI_Recovery_Baseline", tbl_EBI_Params[Parameter], 0))</f>
        <v>0.5</v>
      </c>
    </row>
    <row r="56" customFormat="false" ht="13.5" hidden="false" customHeight="false" outlineLevel="0" collapsed="false">
      <c r="A56" s="0" t="s">
        <v>284</v>
      </c>
      <c r="B56" s="0" t="n">
        <f aca="false">1 + ((Sector_Factor - 1) * INDEX(tbl_EBI_Params[Value], MATCH("EBI_Sector_Compression", tbl_EBI_Params[Parameter], 0)))</f>
        <v>0.992324561403509</v>
      </c>
    </row>
    <row r="57" customFormat="false" ht="13.5" hidden="false" customHeight="false" outlineLevel="0" collapsed="false">
      <c r="A57" s="0" t="s">
        <v>285</v>
      </c>
      <c r="B57" s="0" t="n">
        <f aca="false">INDEX(tbl_EBI_Dependency[EBI_Dependency_Multiplier], MATCH(IT_Dependency_Level, tbl_EBI_Dependency[IT Dependency Level], 0))</f>
        <v>1.1</v>
      </c>
    </row>
    <row r="58" customFormat="false" ht="13.5" hidden="false" customHeight="false" outlineLevel="0" collapsed="false">
      <c r="A58" s="0" t="s">
        <v>286</v>
      </c>
      <c r="B58" s="0" t="n">
        <f aca="false">1 + ((Restore_Maturity_Multiplier - 1) * INDEX(tbl_EBI_Params[Value], MATCH("EBI_Restore_Compression", tbl_EBI_Params[Parameter], 0)))</f>
        <v>1.06666666666667</v>
      </c>
    </row>
    <row r="59" customFormat="false" ht="13.5" hidden="false" customHeight="false" outlineLevel="0" collapsed="false">
      <c r="A59" s="0" t="s">
        <v>287</v>
      </c>
      <c r="B59" s="0" t="n">
        <f aca="false">Daily_Revenue*Downtime_Days*EBI_Recovery_Baseline*EBI_Sector_Adj*EBI_Dependency_Multiplier*EBI_Restore_Adj</f>
        <v>533374.451754386</v>
      </c>
    </row>
    <row r="60" customFormat="false" ht="13.5" hidden="false" customHeight="false" outlineLevel="0" collapsed="false">
      <c r="A60" s="0" t="s">
        <v>288</v>
      </c>
      <c r="B60" s="0" t="n">
        <f aca="false">EBI_Cost_Mid*0.7</f>
        <v>373362.11622807</v>
      </c>
    </row>
    <row r="61" customFormat="false" ht="13.5" hidden="false" customHeight="false" outlineLevel="0" collapsed="false">
      <c r="A61" s="0" t="s">
        <v>289</v>
      </c>
      <c r="B61" s="0" t="n">
        <f aca="false">EBI_Cost_Mid*1.3</f>
        <v>693386.787280702</v>
      </c>
    </row>
    <row r="64" customFormat="false" ht="13.5" hidden="false" customHeight="false" outlineLevel="0" collapsed="false">
      <c r="A64" s="5" t="s">
        <v>290</v>
      </c>
    </row>
    <row r="65" customFormat="false" ht="13.5" hidden="false" customHeight="false" outlineLevel="0" collapsed="false">
      <c r="A65" s="0" t="s">
        <v>268</v>
      </c>
      <c r="B65" s="0" t="s">
        <v>291</v>
      </c>
    </row>
    <row r="67" customFormat="false" ht="13.5" hidden="false" customHeight="false" outlineLevel="0" collapsed="false">
      <c r="A67" s="0" t="s">
        <v>292</v>
      </c>
      <c r="B67" s="0" t="str">
        <f aca="false">IFERROR(IF(INDEX(DT_Scenarios!W:W,MATCH($B$4,DT_Scenarios!$A:$A,0))="","B2B",INDEX(DT_Scenarios!W:W,MATCH($B$4,DT_Scenarios!$A:$A,0))),"B2B")</f>
        <v>B2B</v>
      </c>
    </row>
    <row r="68" customFormat="false" ht="13.5" hidden="false" customHeight="false" outlineLevel="0" collapsed="false">
      <c r="A68" s="0" t="s">
        <v>293</v>
      </c>
      <c r="B68" s="0" t="str">
        <f aca="false">IF(INDEX(DT_Scenarios!$X:$X,MATCH($B$4,DT_Scenarios!$A:$A,0))="","Medium",INDEX(DT_Scenarios!$X:$X,MATCH($B$4,DT_Scenarios!$A:$A,0)))</f>
        <v>Medium</v>
      </c>
    </row>
    <row r="69" customFormat="false" ht="13.5" hidden="false" customHeight="false" outlineLevel="0" collapsed="false">
      <c r="A69" s="0" t="s">
        <v>294</v>
      </c>
      <c r="B69" s="0" t="n">
        <f aca="false">SUMIFS(DT_Config!$C$86:$C$91,DT_Config!$A$86:$A$91,$B$67,DT_Config!$B$86:$B$91,$B$68)</f>
        <v>0.004</v>
      </c>
    </row>
    <row r="70" customFormat="false" ht="13.5" hidden="false" customHeight="false" outlineLevel="0" collapsed="false">
      <c r="A70" s="0" t="s">
        <v>295</v>
      </c>
      <c r="B70" s="0" t="n">
        <f aca="false">1 + ((Sector_Factor - 1) * INDEX(tbl_CCL_Params[Value], MATCH("CCL_Sector_Compression", tbl_CCL_Params[Parameter], 0)))</f>
        <v>0.992324561403509</v>
      </c>
    </row>
    <row r="71" customFormat="false" ht="13.5" hidden="false" customHeight="false" outlineLevel="0" collapsed="false">
      <c r="A71" s="0" t="s">
        <v>296</v>
      </c>
      <c r="B71" s="45" t="n">
        <f aca="false">MAX(INDEX(tbl_CCL_Params[Value],MATCH("CCL_Severity_Min",tbl_CCL_Params[Parameter],0)),MIN(INDEX(tbl_CCL_Params[Value],MATCH("CCL_Severity_Max",tbl_CCL_Params[Parameter],0)),INDEX(tbl_CCL_Params[Value],MATCH("CCL_Severity_Min",tbl_CCL_Params[Parameter],0))+(Downtime_Days-0.5)*(INDEX(tbl_CCL_Params[Value],MATCH("CCL_Severity_Max",tbl_CCL_Params[Parameter],0))-INDEX(tbl_CCL_Params[Value],MATCH("CCL_Severity_Min",tbl_CCL_Params[Parameter],0)))/(3-0.5)))</f>
        <v>1.15</v>
      </c>
    </row>
    <row r="72" customFormat="false" ht="13.5" hidden="false" customHeight="false" outlineLevel="0" collapsed="false">
      <c r="A72" s="0" t="s">
        <v>297</v>
      </c>
      <c r="B72" s="46" t="n">
        <f aca="false">Annual_Revenue*B69*B70*B71*B75</f>
        <v>383434.210526316</v>
      </c>
    </row>
    <row r="73" customFormat="false" ht="13.5" hidden="false" customHeight="false" outlineLevel="0" collapsed="false">
      <c r="A73" s="0" t="s">
        <v>298</v>
      </c>
      <c r="B73" s="46" t="n">
        <f aca="false">B72*0.7</f>
        <v>268403.947368421</v>
      </c>
    </row>
    <row r="74" customFormat="false" ht="13.5" hidden="false" customHeight="false" outlineLevel="0" collapsed="false">
      <c r="A74" s="0" t="s">
        <v>299</v>
      </c>
      <c r="B74" s="46" t="n">
        <f aca="false">B72*1.3</f>
        <v>498464.473684211</v>
      </c>
    </row>
    <row r="75" customFormat="false" ht="13.5" hidden="false" customHeight="false" outlineLevel="0" collapsed="false">
      <c r="A75" s="0" t="s">
        <v>300</v>
      </c>
      <c r="B75" s="0" t="n">
        <f aca="false">1 + ((IR_Maturity_Multiplier - 1) * INDEX(tbl_CCL_Params[Value], MATCH("CCL_IR_Compression", tbl_CCL_Params[Parameter], 0)))</f>
        <v>1.12</v>
      </c>
    </row>
    <row r="78" customFormat="false" ht="13.5" hidden="false" customHeight="false" outlineLevel="0" collapsed="false">
      <c r="A78" s="5" t="s">
        <v>301</v>
      </c>
    </row>
    <row r="79" customFormat="false" ht="13.5" hidden="false" customHeight="false" outlineLevel="0" collapsed="false">
      <c r="A79" s="0" t="s">
        <v>268</v>
      </c>
      <c r="B79" s="0" t="s">
        <v>302</v>
      </c>
    </row>
    <row r="81" customFormat="false" ht="13.5" hidden="false" customHeight="false" outlineLevel="0" collapsed="false">
      <c r="A81" s="0" t="s">
        <v>303</v>
      </c>
      <c r="B81" s="0" t="n">
        <f aca="false">IF(Annual_Revenue="","",INDEX(tbl_Reg_Base[Reg_Base_Mid], MATCH(Annual_Revenue, tbl_Reg_Base[Min Revenue (DKK)], 1)))</f>
        <v>700000</v>
      </c>
    </row>
    <row r="82" customFormat="false" ht="13.5" hidden="false" customHeight="false" outlineLevel="0" collapsed="false">
      <c r="A82" s="0" t="s">
        <v>304</v>
      </c>
      <c r="B82" s="0" t="n">
        <f aca="false">1 + ((Sector_Factor - 1) * INDEX(tbl_Reg_Params[Value], MATCH("REG_Sector_Compression", tbl_Reg_Params[Parameter], 0)))</f>
        <v>0.990789473684211</v>
      </c>
    </row>
    <row r="83" customFormat="false" ht="13.5" hidden="false" customHeight="false" outlineLevel="0" collapsed="false">
      <c r="A83" s="0" t="s">
        <v>305</v>
      </c>
      <c r="B83" s="0" t="n">
        <f aca="false">1 + ((Downtime_Days - 0.5)/(3-0.5)) * INDEX(tbl_Reg_Params[Value], MATCH("REG_Severity_MaxUplift", tbl_Reg_Params[Parameter], 0))</f>
        <v>1.4375</v>
      </c>
    </row>
    <row r="84" customFormat="false" ht="13.5" hidden="false" customHeight="false" outlineLevel="0" collapsed="false">
      <c r="A84" s="0" t="s">
        <v>306</v>
      </c>
      <c r="B84" s="0" t="n">
        <f aca="false">1 + ((IR_Maturity_Multiplier - 1) * INDEX(tbl_Reg_Params[Value], MATCH("REG_IR_Compression", tbl_Reg_Params[Parameter], 0)))</f>
        <v>1.15</v>
      </c>
    </row>
    <row r="85" customFormat="false" ht="13.5" hidden="false" customHeight="false" outlineLevel="0" collapsed="false">
      <c r="A85" s="0" t="s">
        <v>307</v>
      </c>
      <c r="B85" s="0" t="n">
        <f aca="false">B81*B82*B83*B84</f>
        <v>1146529.19407895</v>
      </c>
    </row>
    <row r="86" customFormat="false" ht="13.5" hidden="false" customHeight="false" outlineLevel="0" collapsed="false">
      <c r="A86" s="0" t="s">
        <v>308</v>
      </c>
      <c r="B86" s="0" t="n">
        <f aca="false">B85*0.7</f>
        <v>802570.435855263</v>
      </c>
    </row>
    <row r="87" customFormat="false" ht="13.5" hidden="false" customHeight="false" outlineLevel="0" collapsed="false">
      <c r="A87" s="0" t="s">
        <v>309</v>
      </c>
      <c r="B87" s="0" t="n">
        <f aca="false">B85*1.3</f>
        <v>1490487.95230263</v>
      </c>
    </row>
    <row r="90" customFormat="false" ht="13.5" hidden="false" customHeight="false" outlineLevel="0" collapsed="false">
      <c r="A90" s="5" t="s">
        <v>310</v>
      </c>
    </row>
    <row r="91" customFormat="false" ht="13.5" hidden="false" customHeight="false" outlineLevel="0" collapsed="false">
      <c r="A91" s="0" t="s">
        <v>268</v>
      </c>
      <c r="B91" s="0" t="s">
        <v>311</v>
      </c>
    </row>
    <row r="93" customFormat="false" ht="13.5" hidden="false" customHeight="false" outlineLevel="0" collapsed="false">
      <c r="A93" s="0" t="s">
        <v>312</v>
      </c>
      <c r="B93" s="0" t="str">
        <f aca="false">B67</f>
        <v>B2B</v>
      </c>
    </row>
    <row r="94" customFormat="false" ht="13.5" hidden="false" customHeight="false" outlineLevel="0" collapsed="false">
      <c r="A94" s="0" t="s">
        <v>313</v>
      </c>
      <c r="B94" s="0" t="n">
        <f aca="false">INDEX(tbl_Reputation_Base[Base_Reputation_Pct_Mid], MATCH(B93, tbl_Reputation_Base[Customer model], 0))</f>
        <v>0.0015</v>
      </c>
    </row>
    <row r="95" customFormat="false" ht="13.5" hidden="false" customHeight="false" outlineLevel="0" collapsed="false">
      <c r="A95" s="0" t="s">
        <v>314</v>
      </c>
      <c r="B95" s="0" t="n">
        <f aca="false">1 + ((Downtime_Days - 0.5)/(3-0.5))*INDEX(tbl_Reputation_Params[Value], MATCH("Reputation_Severity_Uplift", tbl_Reputation_Params[Parameter], 0))</f>
        <v>1.4375</v>
      </c>
    </row>
    <row r="96" customFormat="false" ht="13.5" hidden="false" customHeight="false" outlineLevel="0" collapsed="false">
      <c r="A96" s="0" t="s">
        <v>315</v>
      </c>
      <c r="B96" s="0" t="n">
        <f aca="false">1 + ((Sector_Factor - 1)*INDEX(tbl_Reputation_Params[Value], MATCH("Reputation_Sector_Compression", tbl_Reputation_Params[Parameter], 0)))</f>
        <v>0.992324561403509</v>
      </c>
    </row>
    <row r="97" customFormat="false" ht="13.5" hidden="false" customHeight="false" outlineLevel="0" collapsed="false">
      <c r="A97" s="0" t="s">
        <v>316</v>
      </c>
      <c r="B97" s="0" t="n">
        <f aca="false">1 + ((IR_Maturity_Multiplier - 1)*INDEX(tbl_Reputation_Params[Value], MATCH("Reputation_IR_Compression", tbl_Reputation_Params[Parameter], 0)))</f>
        <v>1.15</v>
      </c>
    </row>
    <row r="98" customFormat="false" ht="13.5" hidden="false" customHeight="false" outlineLevel="0" collapsed="false">
      <c r="A98" s="0" t="s">
        <v>317</v>
      </c>
      <c r="B98" s="0" t="n">
        <f aca="false">IF(B93="B2C",INDEX(tbl_Reputation_Params[Value], MATCH("Reputation_B2C_Visibility_Mult", tbl_Reputation_Params[Parameter], 0)),1)</f>
        <v>1</v>
      </c>
    </row>
    <row r="99" customFormat="false" ht="13.5" hidden="false" customHeight="false" outlineLevel="0" collapsed="false">
      <c r="A99" s="0" t="s">
        <v>318</v>
      </c>
      <c r="B99" s="0" t="n">
        <f aca="false">Annual_Revenue*B94*B95*B96*B97*B98</f>
        <v>184549.110814145</v>
      </c>
    </row>
    <row r="100" customFormat="false" ht="13.5" hidden="false" customHeight="false" outlineLevel="0" collapsed="false">
      <c r="A100" s="0" t="s">
        <v>319</v>
      </c>
      <c r="B100" s="0" t="n">
        <f aca="false">B99*0.7</f>
        <v>129184.377569901</v>
      </c>
    </row>
    <row r="101" customFormat="false" ht="13.5" hidden="false" customHeight="false" outlineLevel="0" collapsed="false">
      <c r="A101" s="0" t="s">
        <v>320</v>
      </c>
      <c r="B101" s="0" t="n">
        <f aca="false">B99*1.3</f>
        <v>239913.844058388</v>
      </c>
    </row>
    <row r="104" customFormat="false" ht="13.5" hidden="false" customHeight="false" outlineLevel="0" collapsed="false">
      <c r="A104" s="5" t="s">
        <v>321</v>
      </c>
    </row>
    <row r="105" customFormat="false" ht="13.5" hidden="false" customHeight="false" outlineLevel="0" collapsed="false">
      <c r="A105" s="0" t="s">
        <v>268</v>
      </c>
      <c r="B105" s="0" t="s">
        <v>322</v>
      </c>
    </row>
    <row r="107" customFormat="false" ht="13.5" hidden="false" customHeight="false" outlineLevel="0" collapsed="false">
      <c r="A107" s="0" t="s">
        <v>323</v>
      </c>
      <c r="B107" s="0" t="n">
        <f aca="false">IF(Annual_Revenue="","",INDEX(tbl_Gov_Base[Gov_Base_Mid],MATCH(Annual_Revenue,tbl_Gov_Base[Min Revenue],1)))</f>
        <v>400000</v>
      </c>
    </row>
    <row r="108" customFormat="false" ht="13.5" hidden="false" customHeight="false" outlineLevel="0" collapsed="false">
      <c r="A108" s="0" t="s">
        <v>324</v>
      </c>
      <c r="B108" s="0" t="n">
        <f aca="false">1 + ((Downtime_Days - 0.5)/(3-0.5))*DT_Config!B135</f>
        <v>1.35</v>
      </c>
    </row>
    <row r="109" customFormat="false" ht="13.5" hidden="false" customHeight="false" outlineLevel="0" collapsed="false">
      <c r="A109" s="0" t="s">
        <v>315</v>
      </c>
      <c r="B109" s="0" t="n">
        <f aca="false">1 + ((Sector_Factor - 1)*0.5)</f>
        <v>0.992324561403509</v>
      </c>
    </row>
    <row r="110" customFormat="false" ht="13.5" hidden="false" customHeight="false" outlineLevel="0" collapsed="false">
      <c r="A110" s="0" t="s">
        <v>325</v>
      </c>
      <c r="B110" s="0" t="n">
        <f aca="false">IF(B107="","",B107*B108*B109)</f>
        <v>535855.263157895</v>
      </c>
    </row>
    <row r="111" customFormat="false" ht="13.5" hidden="false" customHeight="false" outlineLevel="0" collapsed="false">
      <c r="A111" s="0" t="s">
        <v>326</v>
      </c>
      <c r="B111" s="0" t="n">
        <f aca="false">IF(B107="","",B107*B108*B109*0.7)</f>
        <v>375098.684210526</v>
      </c>
    </row>
    <row r="112" customFormat="false" ht="13.5" hidden="false" customHeight="false" outlineLevel="0" collapsed="false">
      <c r="A112" s="0" t="s">
        <v>327</v>
      </c>
      <c r="B112" s="0" t="n">
        <f aca="false">IF(B107="","",B107*B108*B109*1.3)</f>
        <v>696611.842105263</v>
      </c>
    </row>
    <row r="116" customFormat="false" ht="13.5" hidden="false" customHeight="false" outlineLevel="0" collapsed="false">
      <c r="A116" s="5" t="s">
        <v>328</v>
      </c>
    </row>
    <row r="117" customFormat="false" ht="13.5" hidden="false" customHeight="false" outlineLevel="0" collapsed="false">
      <c r="A117" s="0" t="s">
        <v>268</v>
      </c>
      <c r="B117" s="0" t="s">
        <v>329</v>
      </c>
    </row>
    <row r="119" customFormat="false" ht="13.5" hidden="false" customHeight="false" outlineLevel="0" collapsed="false">
      <c r="A119" s="0" t="s">
        <v>227</v>
      </c>
      <c r="B119" s="0" t="str">
        <f aca="false">IFERROR(INDEX(DT_Scenarios!Y:Y,MATCH($B$4,DT_Scenarios!$A:$A,0)),"Important")</f>
        <v>Important</v>
      </c>
    </row>
    <row r="120" customFormat="false" ht="13.5" hidden="false" customHeight="false" outlineLevel="0" collapsed="false">
      <c r="A120" s="0" t="s">
        <v>228</v>
      </c>
      <c r="B120" s="0" t="n">
        <f aca="false">INDEX(tbl_Fine_Params[Percent Cap], MATCH(IF(B119="Not sure","Important",B119), tbl_Fine_Params[Entity Type], 0))</f>
        <v>0.02</v>
      </c>
    </row>
    <row r="121" customFormat="false" ht="13.5" hidden="false" customHeight="false" outlineLevel="0" collapsed="false">
      <c r="A121" s="0" t="s">
        <v>229</v>
      </c>
      <c r="B121" s="0" t="n">
        <f aca="false">INDEX(tbl_Fine_Params[Fixed Cap DKK], MATCH(IF(B119="Not sure","Important",B119), tbl_Fine_Params[Entity Type], 0))</f>
        <v>75000000</v>
      </c>
    </row>
    <row r="122" customFormat="false" ht="13.5" hidden="false" customHeight="false" outlineLevel="0" collapsed="false">
      <c r="A122" s="0" t="s">
        <v>330</v>
      </c>
      <c r="B122" s="0" t="n">
        <f aca="false">Annual_Revenue*B120</f>
        <v>1500000</v>
      </c>
    </row>
    <row r="123" customFormat="false" ht="13.5" hidden="false" customHeight="false" outlineLevel="0" collapsed="false">
      <c r="A123" s="0" t="s">
        <v>331</v>
      </c>
      <c r="B123" s="0" t="n">
        <f aca="false">MAX(B122,B121)</f>
        <v>75000000</v>
      </c>
    </row>
  </sheetData>
  <mergeCells count="1">
    <mergeCell ref="A21:C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0"/>
  <sheetViews>
    <sheetView showFormulas="false" showGridLines="false" showRowColHeaders="true" showZeros="true" rightToLeft="false" tabSelected="false" showOutlineSymbols="true" defaultGridColor="true" view="normal" topLeftCell="H1" colorId="64" zoomScale="125" zoomScaleNormal="125" zoomScalePageLayoutView="100" workbookViewId="0">
      <selection pane="topLeft" activeCell="P5" activeCellId="0" sqref="P5"/>
    </sheetView>
  </sheetViews>
  <sheetFormatPr defaultColWidth="8.8359375" defaultRowHeight="13.5" customHeight="false" zeroHeight="false" outlineLevelRow="0" outlineLevelCol="0"/>
  <cols>
    <col collapsed="false" customWidth="true" hidden="false" outlineLevel="0" max="1" min="1" style="0" width="15.67"/>
    <col collapsed="false" customWidth="true" hidden="false" outlineLevel="0" max="2" min="2" style="0" width="39.41"/>
    <col collapsed="false" customWidth="true" hidden="false" outlineLevel="0" max="3" min="3" style="0" width="26"/>
    <col collapsed="false" customWidth="true" hidden="false" outlineLevel="0" max="4" min="4" style="0" width="28.92"/>
    <col collapsed="false" customWidth="true" hidden="false" outlineLevel="0" max="5" min="5" style="0" width="22"/>
    <col collapsed="false" customWidth="true" hidden="false" outlineLevel="0" max="6" min="6" style="0" width="24"/>
    <col collapsed="false" customWidth="true" hidden="false" outlineLevel="0" max="7" min="7" style="0" width="34"/>
    <col collapsed="false" customWidth="true" hidden="false" outlineLevel="0" max="15" min="8" style="0" width="14"/>
    <col collapsed="false" customWidth="true" hidden="false" outlineLevel="0" max="16" min="16" style="0" width="20"/>
    <col collapsed="false" customWidth="true" hidden="false" outlineLevel="0" max="19" min="17" style="0" width="14"/>
    <col collapsed="false" customWidth="true" hidden="false" outlineLevel="0" max="20" min="20" style="0" width="14.34"/>
    <col collapsed="false" customWidth="true" hidden="false" outlineLevel="0" max="21" min="21" style="0" width="11.67"/>
    <col collapsed="false" customWidth="true" hidden="false" outlineLevel="0" max="22" min="22" style="0" width="36.33"/>
    <col collapsed="false" customWidth="true" hidden="false" outlineLevel="0" max="23" min="23" style="0" width="21.83"/>
    <col collapsed="false" customWidth="true" hidden="false" outlineLevel="0" max="24" min="24" style="0" width="31.5"/>
    <col collapsed="false" customWidth="true" hidden="false" outlineLevel="0" max="25" min="25" style="0" width="26.67"/>
  </cols>
  <sheetData>
    <row r="1" customFormat="false" ht="15.75" hidden="false" customHeight="true" outlineLevel="0" collapsed="false">
      <c r="B1" s="33" t="s">
        <v>332</v>
      </c>
    </row>
    <row r="2" customFormat="false" ht="55.5" hidden="false" customHeight="true" outlineLevel="0" collapsed="false">
      <c r="B2" s="21" t="s">
        <v>333</v>
      </c>
    </row>
    <row r="3" customFormat="false" ht="16.4" hidden="false" customHeight="true" outlineLevel="0" collapsed="false">
      <c r="H3" s="47" t="s">
        <v>334</v>
      </c>
      <c r="I3" s="47"/>
      <c r="J3" s="47"/>
      <c r="K3" s="47"/>
      <c r="L3" s="47"/>
      <c r="M3" s="47"/>
      <c r="N3" s="47"/>
      <c r="O3" s="47"/>
      <c r="P3" s="47"/>
      <c r="Q3" s="47"/>
      <c r="R3" s="47"/>
      <c r="S3" s="47"/>
      <c r="T3" s="47"/>
      <c r="U3" s="47"/>
    </row>
    <row r="4" customFormat="false" ht="37.5" hidden="false" customHeight="true" outlineLevel="0" collapsed="false">
      <c r="A4" s="0" t="s">
        <v>335</v>
      </c>
      <c r="B4" s="24" t="s">
        <v>336</v>
      </c>
      <c r="C4" s="24" t="s">
        <v>337</v>
      </c>
      <c r="D4" s="24" t="s">
        <v>128</v>
      </c>
      <c r="E4" s="24" t="s">
        <v>338</v>
      </c>
      <c r="F4" s="24" t="s">
        <v>339</v>
      </c>
      <c r="G4" s="24" t="s">
        <v>340</v>
      </c>
      <c r="H4" s="48" t="s">
        <v>341</v>
      </c>
      <c r="I4" s="48" t="s">
        <v>342</v>
      </c>
      <c r="J4" s="48" t="s">
        <v>343</v>
      </c>
      <c r="K4" s="48" t="s">
        <v>344</v>
      </c>
      <c r="L4" s="48" t="s">
        <v>345</v>
      </c>
      <c r="M4" s="48" t="s">
        <v>346</v>
      </c>
      <c r="N4" s="48" t="s">
        <v>347</v>
      </c>
      <c r="O4" s="48" t="s">
        <v>348</v>
      </c>
      <c r="P4" s="48" t="s">
        <v>349</v>
      </c>
      <c r="Q4" s="48" t="s">
        <v>350</v>
      </c>
      <c r="R4" s="48" t="s">
        <v>351</v>
      </c>
      <c r="S4" s="48" t="s">
        <v>352</v>
      </c>
      <c r="T4" s="48" t="s">
        <v>353</v>
      </c>
      <c r="U4" s="48" t="s">
        <v>354</v>
      </c>
      <c r="V4" s="24" t="s">
        <v>59</v>
      </c>
      <c r="W4" s="24" t="s">
        <v>312</v>
      </c>
      <c r="X4" s="24" t="s">
        <v>355</v>
      </c>
      <c r="Y4" s="24" t="s">
        <v>356</v>
      </c>
    </row>
    <row r="5" customFormat="false" ht="13.8" hidden="false" customHeight="false" outlineLevel="0" collapsed="false">
      <c r="A5" s="0" t="n">
        <v>1</v>
      </c>
      <c r="B5" s="49" t="s">
        <v>357</v>
      </c>
      <c r="C5" s="50" t="n">
        <v>75000000</v>
      </c>
      <c r="D5" s="49" t="s">
        <v>50</v>
      </c>
      <c r="E5" s="49"/>
      <c r="F5" s="51"/>
      <c r="G5" s="51"/>
      <c r="H5" s="52" t="n">
        <v>3</v>
      </c>
      <c r="I5" s="52" t="n">
        <v>3</v>
      </c>
      <c r="J5" s="52" t="n">
        <v>1</v>
      </c>
      <c r="K5" s="52" t="n">
        <v>1</v>
      </c>
      <c r="L5" s="52" t="n">
        <v>1</v>
      </c>
      <c r="M5" s="52" t="n">
        <v>1</v>
      </c>
      <c r="N5" s="52" t="n">
        <v>1</v>
      </c>
      <c r="O5" s="52" t="n">
        <v>1</v>
      </c>
      <c r="P5" s="29" t="n">
        <f aca="false">IF(COUNT(H5:O5)=0,"",((AVERAGE(H5:O5)-1)/4)*100)</f>
        <v>12.5</v>
      </c>
      <c r="Q5" s="52" t="n">
        <v>2</v>
      </c>
      <c r="R5" s="52" t="n">
        <v>1</v>
      </c>
      <c r="S5" s="52" t="n">
        <v>1</v>
      </c>
      <c r="T5" s="29" t="n">
        <f aca="false">IF(COUNTA(Q5:S5)=0,"",SUM(Q5:S5))</f>
        <v>4</v>
      </c>
      <c r="U5" s="31" t="str">
        <f aca="false">IF(T5="","",IF(T5&lt;=1,"Low",IF(T5&lt;=3,"Medium","High")))</f>
        <v>High</v>
      </c>
      <c r="V5" s="25" t="s">
        <v>358</v>
      </c>
      <c r="W5" s="0" t="s">
        <v>189</v>
      </c>
      <c r="X5" s="0" t="s">
        <v>124</v>
      </c>
      <c r="Y5" s="0" t="s">
        <v>230</v>
      </c>
    </row>
    <row r="6" customFormat="false" ht="13.5" hidden="false" customHeight="false" outlineLevel="0" collapsed="false">
      <c r="A6" s="0" t="n">
        <v>2</v>
      </c>
      <c r="B6" s="49" t="s">
        <v>359</v>
      </c>
      <c r="C6" s="50" t="n">
        <v>75000000</v>
      </c>
      <c r="D6" s="49" t="s">
        <v>132</v>
      </c>
      <c r="E6" s="49" t="s">
        <v>125</v>
      </c>
      <c r="F6" s="51" t="n">
        <v>50</v>
      </c>
      <c r="G6" s="51"/>
      <c r="H6" s="52" t="n">
        <v>3</v>
      </c>
      <c r="I6" s="52" t="n">
        <v>1</v>
      </c>
      <c r="J6" s="52" t="n">
        <v>1</v>
      </c>
      <c r="K6" s="52" t="n">
        <v>1</v>
      </c>
      <c r="L6" s="52" t="n">
        <v>1</v>
      </c>
      <c r="M6" s="52" t="n">
        <v>1</v>
      </c>
      <c r="N6" s="52" t="n">
        <v>1</v>
      </c>
      <c r="O6" s="52" t="n">
        <v>1</v>
      </c>
      <c r="P6" s="29" t="n">
        <f aca="false">IF(COUNT(H6:O6)=0,"",((AVERAGE(H6:O6)-1)/4)*100)</f>
        <v>6.25</v>
      </c>
      <c r="Q6" s="52" t="n">
        <v>1</v>
      </c>
      <c r="R6" s="52" t="n">
        <v>1</v>
      </c>
      <c r="S6" s="52" t="n">
        <v>1</v>
      </c>
      <c r="T6" s="29" t="n">
        <f aca="false">IF(COUNTA(Q6:S6)=0,"",SUM(Q6:S6))</f>
        <v>3</v>
      </c>
      <c r="U6" s="31" t="str">
        <f aca="false">IF(T6="","",IF(T6&lt;=1,"Low",IF(T6&lt;=3,"Medium","High")))</f>
        <v>Medium</v>
      </c>
      <c r="V6" s="25" t="s">
        <v>360</v>
      </c>
      <c r="W6" s="0" t="s">
        <v>190</v>
      </c>
      <c r="X6" s="0" t="s">
        <v>122</v>
      </c>
      <c r="Y6" s="0" t="s">
        <v>230</v>
      </c>
    </row>
    <row r="7" customFormat="false" ht="13.5" hidden="false" customHeight="false" outlineLevel="0" collapsed="false">
      <c r="A7" s="0" t="n">
        <v>3</v>
      </c>
      <c r="B7" s="49" t="s">
        <v>361</v>
      </c>
      <c r="C7" s="50" t="n">
        <v>35000000</v>
      </c>
      <c r="D7" s="49" t="s">
        <v>139</v>
      </c>
      <c r="E7" s="49" t="s">
        <v>124</v>
      </c>
      <c r="F7" s="51" t="n">
        <v>60</v>
      </c>
      <c r="G7" s="51"/>
      <c r="H7" s="52" t="n">
        <v>1</v>
      </c>
      <c r="I7" s="52" t="n">
        <v>2</v>
      </c>
      <c r="J7" s="52" t="n">
        <v>3</v>
      </c>
      <c r="K7" s="52" t="n">
        <v>1</v>
      </c>
      <c r="L7" s="52" t="n">
        <v>2</v>
      </c>
      <c r="M7" s="52" t="n">
        <v>3</v>
      </c>
      <c r="N7" s="52" t="n">
        <v>1</v>
      </c>
      <c r="O7" s="52" t="n">
        <v>2</v>
      </c>
      <c r="P7" s="29" t="n">
        <f aca="false">IF(COUNT(H7:O7)=0,"",((AVERAGE(H7:O7)-1)/4)*100)</f>
        <v>21.875</v>
      </c>
      <c r="Q7" s="52" t="n">
        <v>2</v>
      </c>
      <c r="R7" s="52" t="n">
        <v>2</v>
      </c>
      <c r="S7" s="52" t="n">
        <v>1</v>
      </c>
      <c r="T7" s="29" t="n">
        <f aca="false">IF(COUNTA(Q7:S7)=0,"",SUM(Q7:S7))</f>
        <v>5</v>
      </c>
      <c r="U7" s="31" t="str">
        <f aca="false">IF(T7="","",IF(T7&lt;=1,"Low",IF(T7&lt;=3,"Medium","High")))</f>
        <v>High</v>
      </c>
      <c r="V7" s="25" t="s">
        <v>362</v>
      </c>
      <c r="W7" s="0" t="s">
        <v>189</v>
      </c>
      <c r="X7" s="0" t="s">
        <v>124</v>
      </c>
      <c r="Y7" s="0" t="s">
        <v>232</v>
      </c>
    </row>
    <row r="8" customFormat="false" ht="13.5" hidden="false" customHeight="false" outlineLevel="0" collapsed="false">
      <c r="A8" s="0" t="n">
        <v>4</v>
      </c>
      <c r="B8" s="49" t="s">
        <v>363</v>
      </c>
      <c r="C8" s="50" t="n">
        <v>60000000</v>
      </c>
      <c r="D8" s="49" t="s">
        <v>136</v>
      </c>
      <c r="E8" s="49" t="s">
        <v>125</v>
      </c>
      <c r="F8" s="51" t="n">
        <v>40</v>
      </c>
      <c r="G8" s="51"/>
      <c r="H8" s="52"/>
      <c r="I8" s="52"/>
      <c r="J8" s="52"/>
      <c r="K8" s="52"/>
      <c r="L8" s="52"/>
      <c r="M8" s="52"/>
      <c r="N8" s="52"/>
      <c r="O8" s="52"/>
      <c r="P8" s="29" t="str">
        <f aca="false">IF(COUNT(H8:O8)=0,"",((AVERAGE(H8:O8)-1)/4)*100)</f>
        <v/>
      </c>
      <c r="Q8" s="52"/>
      <c r="R8" s="52"/>
      <c r="S8" s="52"/>
      <c r="T8" s="29" t="str">
        <f aca="false">IF(COUNTA(Q8:S8)=0,"",SUM(Q8:S8))</f>
        <v/>
      </c>
      <c r="U8" s="31" t="str">
        <f aca="false">IF(T8="","",IF(T8&lt;=1,"Low",IF(T8&lt;=3,"Medium","High")))</f>
        <v/>
      </c>
      <c r="V8" s="25" t="s">
        <v>364</v>
      </c>
      <c r="W8" s="0" t="s">
        <v>190</v>
      </c>
      <c r="X8" s="0" t="s">
        <v>124</v>
      </c>
      <c r="Y8" s="0" t="s">
        <v>230</v>
      </c>
    </row>
    <row r="9" customFormat="false" ht="13.5" hidden="false" customHeight="false" outlineLevel="0" collapsed="false">
      <c r="A9" s="0" t="n">
        <v>5</v>
      </c>
      <c r="B9" s="49" t="s">
        <v>365</v>
      </c>
      <c r="C9" s="50" t="n">
        <v>50000000</v>
      </c>
      <c r="D9" s="49" t="s">
        <v>47</v>
      </c>
      <c r="E9" s="49" t="s">
        <v>124</v>
      </c>
      <c r="F9" s="51" t="n">
        <v>80</v>
      </c>
      <c r="G9" s="51"/>
      <c r="H9" s="52"/>
      <c r="I9" s="52"/>
      <c r="J9" s="52"/>
      <c r="K9" s="52"/>
      <c r="L9" s="52"/>
      <c r="M9" s="52"/>
      <c r="N9" s="52"/>
      <c r="O9" s="52"/>
      <c r="P9" s="29" t="str">
        <f aca="false">IF(COUNT(H9:O9)=0,"",((AVERAGE(H9:O9)-1)/4)*100)</f>
        <v/>
      </c>
      <c r="Q9" s="52"/>
      <c r="R9" s="52"/>
      <c r="S9" s="52"/>
      <c r="T9" s="29" t="str">
        <f aca="false">IF(COUNTA(Q9:S9)=0,"",SUM(Q9:S9))</f>
        <v/>
      </c>
      <c r="U9" s="31" t="str">
        <f aca="false">IF(T9="","",IF(T9&lt;=1,"Low",IF(T9&lt;=3,"Medium","High")))</f>
        <v/>
      </c>
      <c r="V9" s="25" t="s">
        <v>366</v>
      </c>
      <c r="W9" s="0" t="s">
        <v>189</v>
      </c>
      <c r="X9" s="0" t="s">
        <v>124</v>
      </c>
      <c r="Y9" s="0" t="s">
        <v>230</v>
      </c>
    </row>
    <row r="10" customFormat="false" ht="13.5" hidden="false" customHeight="false" outlineLevel="0" collapsed="false">
      <c r="A10" s="0" t="n">
        <v>6</v>
      </c>
      <c r="B10" s="49" t="s">
        <v>367</v>
      </c>
      <c r="C10" s="50" t="n">
        <v>90000000</v>
      </c>
      <c r="D10" s="49" t="s">
        <v>38</v>
      </c>
      <c r="E10" s="49" t="s">
        <v>125</v>
      </c>
      <c r="F10" s="51" t="n">
        <v>35</v>
      </c>
      <c r="G10" s="51"/>
      <c r="H10" s="52"/>
      <c r="I10" s="52"/>
      <c r="J10" s="52"/>
      <c r="K10" s="52"/>
      <c r="L10" s="52"/>
      <c r="M10" s="52"/>
      <c r="N10" s="52"/>
      <c r="O10" s="52"/>
      <c r="P10" s="29" t="str">
        <f aca="false">IF(COUNT(H10:O10)=0,"",((AVERAGE(H10:O10)-1)/4)*100)</f>
        <v/>
      </c>
      <c r="Q10" s="52"/>
      <c r="R10" s="52"/>
      <c r="S10" s="52"/>
      <c r="T10" s="29" t="str">
        <f aca="false">IF(COUNTA(Q10:S10)=0,"",SUM(Q10:S10))</f>
        <v/>
      </c>
      <c r="U10" s="31" t="str">
        <f aca="false">IF(T10="","",IF(T10&lt;=1,"Low",IF(T10&lt;=3,"Medium","High")))</f>
        <v/>
      </c>
      <c r="V10" s="25" t="s">
        <v>368</v>
      </c>
      <c r="W10" s="0" t="s">
        <v>189</v>
      </c>
      <c r="X10" s="0" t="s">
        <v>124</v>
      </c>
      <c r="Y10" s="0" t="s">
        <v>230</v>
      </c>
    </row>
    <row r="11" customFormat="false" ht="13.5" hidden="false" customHeight="false" outlineLevel="0" collapsed="false">
      <c r="A11" s="0" t="n">
        <v>7</v>
      </c>
      <c r="B11" s="49" t="s">
        <v>369</v>
      </c>
      <c r="C11" s="50" t="n">
        <v>120000000</v>
      </c>
      <c r="D11" s="49" t="s">
        <v>44</v>
      </c>
      <c r="E11" s="49" t="s">
        <v>125</v>
      </c>
      <c r="F11" s="51" t="n">
        <v>78</v>
      </c>
      <c r="G11" s="51"/>
      <c r="H11" s="52"/>
      <c r="I11" s="52"/>
      <c r="J11" s="52"/>
      <c r="K11" s="52"/>
      <c r="L11" s="52"/>
      <c r="M11" s="52"/>
      <c r="N11" s="52"/>
      <c r="O11" s="52"/>
      <c r="P11" s="29" t="str">
        <f aca="false">IF(COUNT(H11:O11)=0,"",((AVERAGE(H11:O11)-1)/4)*100)</f>
        <v/>
      </c>
      <c r="Q11" s="52"/>
      <c r="R11" s="52"/>
      <c r="S11" s="52"/>
      <c r="T11" s="29" t="str">
        <f aca="false">IF(COUNTA(Q11:S11)=0,"",SUM(Q11:S11))</f>
        <v/>
      </c>
      <c r="U11" s="31" t="str">
        <f aca="false">IF(T11="","",IF(T11&lt;=1,"Low",IF(T11&lt;=3,"Medium","High")))</f>
        <v/>
      </c>
      <c r="V11" s="25" t="s">
        <v>370</v>
      </c>
      <c r="W11" s="0" t="s">
        <v>189</v>
      </c>
      <c r="X11" s="0" t="s">
        <v>124</v>
      </c>
      <c r="Y11" s="0" t="s">
        <v>230</v>
      </c>
    </row>
    <row r="12" customFormat="false" ht="13.5" hidden="false" customHeight="false" outlineLevel="0" collapsed="false">
      <c r="A12" s="0" t="n">
        <v>8</v>
      </c>
      <c r="B12" s="49" t="s">
        <v>371</v>
      </c>
      <c r="C12" s="50" t="n">
        <v>40000000</v>
      </c>
      <c r="D12" s="49" t="s">
        <v>41</v>
      </c>
      <c r="E12" s="49" t="s">
        <v>124</v>
      </c>
      <c r="F12" s="51" t="n">
        <v>65</v>
      </c>
      <c r="G12" s="51"/>
      <c r="H12" s="52"/>
      <c r="I12" s="52"/>
      <c r="J12" s="52"/>
      <c r="K12" s="52"/>
      <c r="L12" s="52"/>
      <c r="M12" s="52"/>
      <c r="N12" s="52"/>
      <c r="O12" s="52"/>
      <c r="P12" s="29" t="str">
        <f aca="false">IF(COUNT(H12:O12)=0,"",((AVERAGE(H12:O12)-1)/4)*100)</f>
        <v/>
      </c>
      <c r="Q12" s="52"/>
      <c r="R12" s="52"/>
      <c r="S12" s="52"/>
      <c r="T12" s="29" t="str">
        <f aca="false">IF(COUNTA(Q12:S12)=0,"",SUM(Q12:S12))</f>
        <v/>
      </c>
      <c r="U12" s="31" t="str">
        <f aca="false">IF(T12="","",IF(T12&lt;=1,"Low",IF(T12&lt;=3,"Medium","High")))</f>
        <v/>
      </c>
      <c r="V12" s="25" t="s">
        <v>372</v>
      </c>
      <c r="W12" s="0" t="s">
        <v>189</v>
      </c>
      <c r="X12" s="0" t="s">
        <v>124</v>
      </c>
      <c r="Y12" s="0" t="s">
        <v>230</v>
      </c>
    </row>
    <row r="13" customFormat="false" ht="13.5" hidden="false" customHeight="false" outlineLevel="0" collapsed="false">
      <c r="A13" s="0" t="n">
        <v>9</v>
      </c>
      <c r="B13" s="49" t="s">
        <v>373</v>
      </c>
      <c r="C13" s="50" t="n">
        <v>110000000</v>
      </c>
      <c r="D13" s="49" t="s">
        <v>133</v>
      </c>
      <c r="E13" s="49" t="s">
        <v>125</v>
      </c>
      <c r="F13" s="51" t="n">
        <v>62</v>
      </c>
      <c r="G13" s="51"/>
      <c r="H13" s="52"/>
      <c r="I13" s="52"/>
      <c r="J13" s="52"/>
      <c r="K13" s="52"/>
      <c r="L13" s="52"/>
      <c r="M13" s="52"/>
      <c r="N13" s="52"/>
      <c r="O13" s="52"/>
      <c r="P13" s="29" t="str">
        <f aca="false">IF(COUNT(H13:O13)=0,"",((AVERAGE(H13:O13)-1)/4)*100)</f>
        <v/>
      </c>
      <c r="Q13" s="52"/>
      <c r="R13" s="52"/>
      <c r="S13" s="52"/>
      <c r="T13" s="29" t="str">
        <f aca="false">IF(COUNTA(Q13:S13)=0,"",SUM(Q13:S13))</f>
        <v/>
      </c>
      <c r="U13" s="31" t="str">
        <f aca="false">IF(T13="","",IF(T13&lt;=1,"Low",IF(T13&lt;=3,"Medium","High")))</f>
        <v/>
      </c>
      <c r="V13" s="25" t="s">
        <v>374</v>
      </c>
      <c r="W13" s="0" t="s">
        <v>189</v>
      </c>
      <c r="X13" s="0" t="s">
        <v>124</v>
      </c>
      <c r="Y13" s="0" t="s">
        <v>230</v>
      </c>
    </row>
    <row r="14" customFormat="false" ht="13.5" hidden="false" customHeight="false" outlineLevel="0" collapsed="false">
      <c r="A14" s="0" t="n">
        <v>10</v>
      </c>
      <c r="B14" s="49" t="s">
        <v>375</v>
      </c>
      <c r="C14" s="50" t="n">
        <v>80000000</v>
      </c>
      <c r="D14" s="49" t="s">
        <v>132</v>
      </c>
      <c r="E14" s="49" t="s">
        <v>125</v>
      </c>
      <c r="F14" s="51" t="n">
        <v>55</v>
      </c>
      <c r="G14" s="51" t="n">
        <v>365</v>
      </c>
      <c r="H14" s="52"/>
      <c r="I14" s="52"/>
      <c r="J14" s="52"/>
      <c r="K14" s="52"/>
      <c r="L14" s="52"/>
      <c r="M14" s="52"/>
      <c r="N14" s="52"/>
      <c r="O14" s="52"/>
      <c r="P14" s="29" t="str">
        <f aca="false">IF(COUNT(H14:O14)=0,"",((AVERAGE(H14:O14)-1)/4)*100)</f>
        <v/>
      </c>
      <c r="Q14" s="52"/>
      <c r="R14" s="52"/>
      <c r="S14" s="52"/>
      <c r="T14" s="29" t="str">
        <f aca="false">IF(COUNTA(Q14:S14)=0,"",SUM(Q14:S14))</f>
        <v/>
      </c>
      <c r="U14" s="31" t="str">
        <f aca="false">IF(T14="","",IF(T14&lt;=1,"Low",IF(T14&lt;=3,"Medium","High")))</f>
        <v/>
      </c>
      <c r="V14" s="25" t="s">
        <v>376</v>
      </c>
      <c r="W14" s="0" t="s">
        <v>189</v>
      </c>
      <c r="X14" s="0" t="s">
        <v>124</v>
      </c>
      <c r="Y14" s="0" t="s">
        <v>230</v>
      </c>
    </row>
    <row r="15" customFormat="false" ht="13.5" hidden="false" customHeight="false" outlineLevel="0" collapsed="false">
      <c r="P15" s="0" t="str">
        <f aca="false">IF(COUNT(H15:O15)=0,"",((AVERAGE(H15:O15)-1)/4)*100)</f>
        <v/>
      </c>
      <c r="Y15" s="0" t="s">
        <v>230</v>
      </c>
    </row>
    <row r="16" customFormat="false" ht="13.5" hidden="false" customHeight="false" outlineLevel="0" collapsed="false">
      <c r="P16" s="0" t="str">
        <f aca="false">IF(COUNT(H16:O16)=0,"",((AVERAGE(H16:O16)-1)/4)*100)</f>
        <v/>
      </c>
      <c r="Y16" s="0" t="s">
        <v>230</v>
      </c>
    </row>
    <row r="17" customFormat="false" ht="13.5" hidden="false" customHeight="false" outlineLevel="0" collapsed="false">
      <c r="P17" s="0" t="str">
        <f aca="false">IF(COUNT(H17:O17)=0,"",((AVERAGE(H17:O17)-1)/4)*100)</f>
        <v/>
      </c>
      <c r="Y17" s="0" t="s">
        <v>230</v>
      </c>
    </row>
    <row r="18" customFormat="false" ht="13.5" hidden="false" customHeight="false" outlineLevel="0" collapsed="false">
      <c r="P18" s="0" t="str">
        <f aca="false">IF(COUNT(H18:O18)=0,"",((AVERAGE(H18:O18)-1)/4)*100)</f>
        <v/>
      </c>
      <c r="Y18" s="0" t="s">
        <v>230</v>
      </c>
    </row>
    <row r="19" customFormat="false" ht="13.5" hidden="false" customHeight="false" outlineLevel="0" collapsed="false">
      <c r="P19" s="0" t="str">
        <f aca="false">IF(COUNT(H19:O19)=0,"",((AVERAGE(H19:O19)-1)/4)*100)</f>
        <v/>
      </c>
      <c r="Y19" s="0" t="s">
        <v>230</v>
      </c>
    </row>
    <row r="20" customFormat="false" ht="13.5" hidden="false" customHeight="false" outlineLevel="0" collapsed="false">
      <c r="P20" s="0" t="str">
        <f aca="false">IF(COUNT(H20:O20)=0,"",((AVERAGE(H20:O20)-1)/4)*100)</f>
        <v/>
      </c>
      <c r="Y20" s="0" t="s">
        <v>230</v>
      </c>
    </row>
    <row r="21" customFormat="false" ht="13.5" hidden="false" customHeight="false" outlineLevel="0" collapsed="false">
      <c r="P21" s="0" t="str">
        <f aca="false">IF(COUNT(H21:O21)=0,"",((AVERAGE(H21:O21)-1)/4)*100)</f>
        <v/>
      </c>
      <c r="Y21" s="0" t="s">
        <v>230</v>
      </c>
    </row>
    <row r="22" customFormat="false" ht="13.5" hidden="false" customHeight="false" outlineLevel="0" collapsed="false">
      <c r="P22" s="0" t="str">
        <f aca="false">IF(COUNT(H22:O22)=0,"",((AVERAGE(H22:O22)-1)/4)*100)</f>
        <v/>
      </c>
      <c r="Y22" s="0" t="s">
        <v>230</v>
      </c>
    </row>
    <row r="23" customFormat="false" ht="13.5" hidden="false" customHeight="false" outlineLevel="0" collapsed="false">
      <c r="P23" s="0" t="str">
        <f aca="false">IF(COUNT(H23:O23)=0,"",((AVERAGE(H23:O23)-1)/4)*100)</f>
        <v/>
      </c>
      <c r="Y23" s="0" t="s">
        <v>230</v>
      </c>
    </row>
    <row r="24" customFormat="false" ht="13.5" hidden="false" customHeight="false" outlineLevel="0" collapsed="false">
      <c r="P24" s="0" t="str">
        <f aca="false">IF(COUNT(H24:O24)=0,"",((AVERAGE(H24:O24)-1)/4)*100)</f>
        <v/>
      </c>
      <c r="Y24" s="0" t="s">
        <v>230</v>
      </c>
    </row>
    <row r="25" customFormat="false" ht="13.5" hidden="false" customHeight="false" outlineLevel="0" collapsed="false">
      <c r="P25" s="0" t="str">
        <f aca="false">IF(COUNT(H25:O25)=0,"",((AVERAGE(H25:O25)-1)/4)*100)</f>
        <v/>
      </c>
      <c r="Y25" s="0" t="s">
        <v>230</v>
      </c>
    </row>
    <row r="26" customFormat="false" ht="13.5" hidden="false" customHeight="false" outlineLevel="0" collapsed="false">
      <c r="P26" s="0" t="str">
        <f aca="false">IF(COUNT(H26:O26)=0,"",((AVERAGE(H26:O26)-1)/4)*100)</f>
        <v/>
      </c>
      <c r="Y26" s="0" t="s">
        <v>230</v>
      </c>
    </row>
    <row r="27" customFormat="false" ht="13.5" hidden="false" customHeight="false" outlineLevel="0" collapsed="false">
      <c r="P27" s="0" t="str">
        <f aca="false">IF(COUNT(H27:O27)=0,"",((AVERAGE(H27:O27)-1)/4)*100)</f>
        <v/>
      </c>
      <c r="Y27" s="0" t="s">
        <v>230</v>
      </c>
    </row>
    <row r="28" customFormat="false" ht="13.5" hidden="false" customHeight="false" outlineLevel="0" collapsed="false">
      <c r="P28" s="0" t="str">
        <f aca="false">IF(COUNT(H28:O28)=0,"",((AVERAGE(H28:O28)-1)/4)*100)</f>
        <v/>
      </c>
      <c r="Y28" s="0" t="s">
        <v>230</v>
      </c>
    </row>
    <row r="29" customFormat="false" ht="13.5" hidden="false" customHeight="false" outlineLevel="0" collapsed="false">
      <c r="P29" s="0" t="str">
        <f aca="false">IF(COUNT(H29:O29)=0,"",((AVERAGE(H29:O29)-1)/4)*100)</f>
        <v/>
      </c>
      <c r="Y29" s="0" t="s">
        <v>230</v>
      </c>
    </row>
    <row r="30" customFormat="false" ht="13.5" hidden="false" customHeight="false" outlineLevel="0" collapsed="false">
      <c r="P30" s="0" t="str">
        <f aca="false">IF(COUNT(H30:O30)=0,"",((AVERAGE(H30:O30)-1)/4)*100)</f>
        <v/>
      </c>
      <c r="Y30" s="0" t="s">
        <v>230</v>
      </c>
    </row>
    <row r="31" customFormat="false" ht="13.5" hidden="false" customHeight="false" outlineLevel="0" collapsed="false">
      <c r="P31" s="0" t="str">
        <f aca="false">IF(COUNT(H31:O31)=0,"",((AVERAGE(H31:O31)-1)/4)*100)</f>
        <v/>
      </c>
      <c r="Y31" s="0" t="s">
        <v>230</v>
      </c>
    </row>
    <row r="32" customFormat="false" ht="13.5" hidden="false" customHeight="false" outlineLevel="0" collapsed="false">
      <c r="P32" s="0" t="str">
        <f aca="false">IF(COUNT(H32:O32)=0,"",((AVERAGE(H32:O32)-1)/4)*100)</f>
        <v/>
      </c>
      <c r="Y32" s="0" t="s">
        <v>230</v>
      </c>
    </row>
    <row r="33" customFormat="false" ht="13.5" hidden="false" customHeight="false" outlineLevel="0" collapsed="false">
      <c r="P33" s="0" t="str">
        <f aca="false">IF(COUNT(H33:O33)=0,"",((AVERAGE(H33:O33)-1)/4)*100)</f>
        <v/>
      </c>
      <c r="Y33" s="0" t="s">
        <v>230</v>
      </c>
    </row>
    <row r="34" customFormat="false" ht="13.5" hidden="false" customHeight="false" outlineLevel="0" collapsed="false">
      <c r="P34" s="0" t="str">
        <f aca="false">IF(COUNT(H34:O34)=0,"",((AVERAGE(H34:O34)-1)/4)*100)</f>
        <v/>
      </c>
      <c r="Y34" s="0" t="s">
        <v>230</v>
      </c>
    </row>
    <row r="35" customFormat="false" ht="13.5" hidden="false" customHeight="false" outlineLevel="0" collapsed="false">
      <c r="P35" s="0" t="str">
        <f aca="false">IF(COUNT(H35:O35)=0,"",((AVERAGE(H35:O35)-1)/4)*100)</f>
        <v/>
      </c>
      <c r="Y35" s="0" t="s">
        <v>230</v>
      </c>
    </row>
    <row r="36" customFormat="false" ht="13.5" hidden="false" customHeight="false" outlineLevel="0" collapsed="false">
      <c r="P36" s="0" t="str">
        <f aca="false">IF(COUNT(H36:O36)=0,"",((AVERAGE(H36:O36)-1)/4)*100)</f>
        <v/>
      </c>
      <c r="Y36" s="0" t="s">
        <v>230</v>
      </c>
    </row>
    <row r="37" customFormat="false" ht="13.5" hidden="false" customHeight="false" outlineLevel="0" collapsed="false">
      <c r="P37" s="0" t="str">
        <f aca="false">IF(COUNT(H37:O37)=0,"",((AVERAGE(H37:O37)-1)/4)*100)</f>
        <v/>
      </c>
      <c r="Y37" s="0" t="s">
        <v>230</v>
      </c>
    </row>
    <row r="38" customFormat="false" ht="13.5" hidden="false" customHeight="false" outlineLevel="0" collapsed="false">
      <c r="P38" s="0" t="str">
        <f aca="false">IF(COUNT(H38:O38)=0,"",((AVERAGE(H38:O38)-1)/4)*100)</f>
        <v/>
      </c>
      <c r="Y38" s="0" t="s">
        <v>230</v>
      </c>
    </row>
    <row r="39" customFormat="false" ht="13.5" hidden="false" customHeight="false" outlineLevel="0" collapsed="false">
      <c r="P39" s="0" t="str">
        <f aca="false">IF(COUNT(H39:O39)=0,"",((AVERAGE(H39:O39)-1)/4)*100)</f>
        <v/>
      </c>
      <c r="Y39" s="0" t="s">
        <v>230</v>
      </c>
    </row>
    <row r="40" customFormat="false" ht="13.5" hidden="false" customHeight="false" outlineLevel="0" collapsed="false">
      <c r="P40" s="0" t="str">
        <f aca="false">IF(COUNT(H40:O40)=0,"",((AVERAGE(H40:O40)-1)/4)*100)</f>
        <v/>
      </c>
      <c r="Y40" s="0" t="s">
        <v>230</v>
      </c>
    </row>
    <row r="41" customFormat="false" ht="13.5" hidden="false" customHeight="false" outlineLevel="0" collapsed="false">
      <c r="P41" s="0" t="str">
        <f aca="false">IF(COUNT(H41:O41)=0,"",((AVERAGE(H41:O41)-1)/4)*100)</f>
        <v/>
      </c>
      <c r="Y41" s="0" t="s">
        <v>230</v>
      </c>
    </row>
    <row r="42" customFormat="false" ht="13.5" hidden="false" customHeight="false" outlineLevel="0" collapsed="false">
      <c r="P42" s="0" t="str">
        <f aca="false">IF(COUNT(H42:O42)=0,"",((AVERAGE(H42:O42)-1)/4)*100)</f>
        <v/>
      </c>
      <c r="Y42" s="0" t="s">
        <v>230</v>
      </c>
    </row>
    <row r="43" customFormat="false" ht="13.5" hidden="false" customHeight="false" outlineLevel="0" collapsed="false">
      <c r="P43" s="0" t="str">
        <f aca="false">IF(COUNT(H43:O43)=0,"",((AVERAGE(H43:O43)-1)/4)*100)</f>
        <v/>
      </c>
      <c r="Y43" s="0" t="s">
        <v>230</v>
      </c>
    </row>
    <row r="44" customFormat="false" ht="13.5" hidden="false" customHeight="false" outlineLevel="0" collapsed="false">
      <c r="P44" s="0" t="str">
        <f aca="false">IF(COUNT(H44:O44)=0,"",((AVERAGE(H44:O44)-1)/4)*100)</f>
        <v/>
      </c>
      <c r="Y44" s="0" t="s">
        <v>230</v>
      </c>
    </row>
    <row r="45" customFormat="false" ht="13.5" hidden="false" customHeight="false" outlineLevel="0" collapsed="false">
      <c r="P45" s="0" t="str">
        <f aca="false">IF(COUNT(H45:O45)=0,"",((AVERAGE(H45:O45)-1)/4)*100)</f>
        <v/>
      </c>
      <c r="Y45" s="0" t="s">
        <v>230</v>
      </c>
    </row>
    <row r="46" customFormat="false" ht="13.5" hidden="false" customHeight="false" outlineLevel="0" collapsed="false">
      <c r="P46" s="0" t="str">
        <f aca="false">IF(COUNT(H46:O46)=0,"",((AVERAGE(H46:O46)-1)/4)*100)</f>
        <v/>
      </c>
      <c r="Y46" s="0" t="s">
        <v>230</v>
      </c>
    </row>
    <row r="47" customFormat="false" ht="13.5" hidden="false" customHeight="false" outlineLevel="0" collapsed="false">
      <c r="P47" s="0" t="str">
        <f aca="false">IF(COUNT(H47:O47)=0,"",((AVERAGE(H47:O47)-1)/4)*100)</f>
        <v/>
      </c>
      <c r="Y47" s="0" t="s">
        <v>230</v>
      </c>
    </row>
    <row r="48" customFormat="false" ht="13.5" hidden="false" customHeight="false" outlineLevel="0" collapsed="false">
      <c r="P48" s="0" t="str">
        <f aca="false">IF(COUNT(H48:O48)=0,"",((AVERAGE(H48:O48)-1)/4)*100)</f>
        <v/>
      </c>
      <c r="Y48" s="0" t="s">
        <v>230</v>
      </c>
    </row>
    <row r="49" customFormat="false" ht="13.5" hidden="false" customHeight="false" outlineLevel="0" collapsed="false">
      <c r="P49" s="0" t="str">
        <f aca="false">IF(COUNT(H49:O49)=0,"",((AVERAGE(H49:O49)-1)/4)*100)</f>
        <v/>
      </c>
      <c r="Y49" s="0" t="s">
        <v>230</v>
      </c>
    </row>
    <row r="50" customFormat="false" ht="13.5" hidden="false" customHeight="false" outlineLevel="0" collapsed="false">
      <c r="P50" s="0" t="str">
        <f aca="false">IF(COUNT(H50:O50)=0,"",((AVERAGE(H50:O50)-1)/4)*100)</f>
        <v/>
      </c>
      <c r="Y50" s="0" t="s">
        <v>230</v>
      </c>
    </row>
    <row r="51" customFormat="false" ht="13.5" hidden="false" customHeight="false" outlineLevel="0" collapsed="false">
      <c r="P51" s="0" t="str">
        <f aca="false">IF(COUNT(H51:O51)=0,"",((AVERAGE(H51:O51)-1)/4)*100)</f>
        <v/>
      </c>
      <c r="Y51" s="0" t="s">
        <v>230</v>
      </c>
    </row>
    <row r="52" customFormat="false" ht="13.5" hidden="false" customHeight="false" outlineLevel="0" collapsed="false">
      <c r="P52" s="0" t="str">
        <f aca="false">IF(COUNT(H52:O52)=0,"",((AVERAGE(H52:O52)-1)/4)*100)</f>
        <v/>
      </c>
      <c r="Y52" s="0" t="s">
        <v>230</v>
      </c>
    </row>
    <row r="53" customFormat="false" ht="13.5" hidden="false" customHeight="false" outlineLevel="0" collapsed="false">
      <c r="P53" s="0" t="str">
        <f aca="false">IF(COUNT(H53:O53)=0,"",((AVERAGE(H53:O53)-1)/4)*100)</f>
        <v/>
      </c>
      <c r="Y53" s="0" t="s">
        <v>230</v>
      </c>
    </row>
    <row r="54" customFormat="false" ht="13.5" hidden="false" customHeight="false" outlineLevel="0" collapsed="false">
      <c r="P54" s="0" t="str">
        <f aca="false">IF(COUNT(H54:O54)=0,"",((AVERAGE(H54:O54)-1)/4)*100)</f>
        <v/>
      </c>
      <c r="Y54" s="0" t="s">
        <v>230</v>
      </c>
    </row>
    <row r="55" customFormat="false" ht="13.5" hidden="false" customHeight="false" outlineLevel="0" collapsed="false">
      <c r="P55" s="0" t="str">
        <f aca="false">IF(COUNT(H55:O55)=0,"",((AVERAGE(H55:O55)-1)/4)*100)</f>
        <v/>
      </c>
      <c r="Y55" s="0" t="s">
        <v>230</v>
      </c>
    </row>
    <row r="56" customFormat="false" ht="13.5" hidden="false" customHeight="false" outlineLevel="0" collapsed="false">
      <c r="P56" s="0" t="str">
        <f aca="false">IF(COUNT(H56:O56)=0,"",((AVERAGE(H56:O56)-1)/4)*100)</f>
        <v/>
      </c>
      <c r="Y56" s="0" t="s">
        <v>230</v>
      </c>
    </row>
    <row r="57" customFormat="false" ht="13.5" hidden="false" customHeight="false" outlineLevel="0" collapsed="false">
      <c r="P57" s="0" t="str">
        <f aca="false">IF(COUNT(H57:O57)=0,"",((AVERAGE(H57:O57)-1)/4)*100)</f>
        <v/>
      </c>
      <c r="Y57" s="0" t="s">
        <v>230</v>
      </c>
    </row>
    <row r="58" customFormat="false" ht="13.5" hidden="false" customHeight="false" outlineLevel="0" collapsed="false">
      <c r="P58" s="0" t="str">
        <f aca="false">IF(COUNT(H58:O58)=0,"",((AVERAGE(H58:O58)-1)/4)*100)</f>
        <v/>
      </c>
      <c r="Y58" s="0" t="s">
        <v>230</v>
      </c>
    </row>
    <row r="59" customFormat="false" ht="13.5" hidden="false" customHeight="false" outlineLevel="0" collapsed="false">
      <c r="P59" s="0" t="str">
        <f aca="false">IF(COUNT(H59:O59)=0,"",((AVERAGE(H59:O59)-1)/4)*100)</f>
        <v/>
      </c>
      <c r="Y59" s="0" t="s">
        <v>230</v>
      </c>
    </row>
    <row r="60" customFormat="false" ht="13.5" hidden="false" customHeight="false" outlineLevel="0" collapsed="false">
      <c r="P60" s="0" t="str">
        <f aca="false">IF(COUNT(H60:O60)=0,"",((AVERAGE(H60:O60)-1)/4)*100)</f>
        <v/>
      </c>
      <c r="Y60" s="0" t="s">
        <v>230</v>
      </c>
    </row>
    <row r="61" customFormat="false" ht="13.5" hidden="false" customHeight="false" outlineLevel="0" collapsed="false">
      <c r="P61" s="0" t="str">
        <f aca="false">IF(COUNT(H61:O61)=0,"",((AVERAGE(H61:O61)-1)/4)*100)</f>
        <v/>
      </c>
      <c r="Y61" s="0" t="s">
        <v>230</v>
      </c>
    </row>
    <row r="62" customFormat="false" ht="13.5" hidden="false" customHeight="false" outlineLevel="0" collapsed="false">
      <c r="P62" s="0" t="str">
        <f aca="false">IF(COUNT(H62:O62)=0,"",((AVERAGE(H62:O62)-1)/4)*100)</f>
        <v/>
      </c>
      <c r="Y62" s="0" t="s">
        <v>230</v>
      </c>
    </row>
    <row r="63" customFormat="false" ht="13.5" hidden="false" customHeight="false" outlineLevel="0" collapsed="false">
      <c r="P63" s="0" t="str">
        <f aca="false">IF(COUNT(H63:O63)=0,"",((AVERAGE(H63:O63)-1)/4)*100)</f>
        <v/>
      </c>
      <c r="Y63" s="0" t="s">
        <v>230</v>
      </c>
    </row>
    <row r="64" customFormat="false" ht="13.5" hidden="false" customHeight="false" outlineLevel="0" collapsed="false">
      <c r="P64" s="0" t="str">
        <f aca="false">IF(COUNT(H64:O64)=0,"",((AVERAGE(H64:O64)-1)/4)*100)</f>
        <v/>
      </c>
      <c r="Y64" s="0" t="s">
        <v>230</v>
      </c>
    </row>
    <row r="65" customFormat="false" ht="13.5" hidden="false" customHeight="false" outlineLevel="0" collapsed="false">
      <c r="P65" s="0" t="str">
        <f aca="false">IF(COUNT(H65:O65)=0,"",((AVERAGE(H65:O65)-1)/4)*100)</f>
        <v/>
      </c>
      <c r="Y65" s="0" t="s">
        <v>230</v>
      </c>
    </row>
    <row r="66" customFormat="false" ht="13.5" hidden="false" customHeight="false" outlineLevel="0" collapsed="false">
      <c r="P66" s="0" t="str">
        <f aca="false">IF(COUNT(H66:O66)=0,"",((AVERAGE(H66:O66)-1)/4)*100)</f>
        <v/>
      </c>
      <c r="Y66" s="0" t="s">
        <v>230</v>
      </c>
    </row>
    <row r="67" customFormat="false" ht="13.5" hidden="false" customHeight="false" outlineLevel="0" collapsed="false">
      <c r="P67" s="0" t="str">
        <f aca="false">IF(COUNT(H67:O67)=0,"",((AVERAGE(H67:O67)-1)/4)*100)</f>
        <v/>
      </c>
      <c r="Y67" s="0" t="s">
        <v>230</v>
      </c>
    </row>
    <row r="68" customFormat="false" ht="13.5" hidden="false" customHeight="false" outlineLevel="0" collapsed="false">
      <c r="P68" s="0" t="str">
        <f aca="false">IF(COUNT(H68:O68)=0,"",((AVERAGE(H68:O68)-1)/4)*100)</f>
        <v/>
      </c>
      <c r="Y68" s="0" t="s">
        <v>230</v>
      </c>
    </row>
    <row r="69" customFormat="false" ht="13.5" hidden="false" customHeight="false" outlineLevel="0" collapsed="false">
      <c r="P69" s="0" t="str">
        <f aca="false">IF(COUNT(H69:O69)=0,"",((AVERAGE(H69:O69)-1)/4)*100)</f>
        <v/>
      </c>
      <c r="Y69" s="0" t="s">
        <v>230</v>
      </c>
    </row>
    <row r="70" customFormat="false" ht="13.5" hidden="false" customHeight="false" outlineLevel="0" collapsed="false">
      <c r="P70" s="0" t="str">
        <f aca="false">IF(COUNT(H70:O70)=0,"",((AVERAGE(H70:O70)-1)/4)*100)</f>
        <v/>
      </c>
      <c r="Y70" s="0" t="s">
        <v>230</v>
      </c>
    </row>
    <row r="71" customFormat="false" ht="13.5" hidden="false" customHeight="false" outlineLevel="0" collapsed="false">
      <c r="P71" s="0" t="str">
        <f aca="false">IF(COUNT(H71:O71)=0,"",((AVERAGE(H71:O71)-1)/4)*100)</f>
        <v/>
      </c>
      <c r="Y71" s="0" t="s">
        <v>230</v>
      </c>
    </row>
    <row r="72" customFormat="false" ht="13.5" hidden="false" customHeight="false" outlineLevel="0" collapsed="false">
      <c r="P72" s="0" t="str">
        <f aca="false">IF(COUNT(H72:O72)=0,"",((AVERAGE(H72:O72)-1)/4)*100)</f>
        <v/>
      </c>
      <c r="Y72" s="0" t="s">
        <v>230</v>
      </c>
    </row>
    <row r="73" customFormat="false" ht="13.5" hidden="false" customHeight="false" outlineLevel="0" collapsed="false">
      <c r="P73" s="0" t="str">
        <f aca="false">IF(COUNT(H73:O73)=0,"",((AVERAGE(H73:O73)-1)/4)*100)</f>
        <v/>
      </c>
      <c r="Y73" s="0" t="s">
        <v>230</v>
      </c>
    </row>
    <row r="74" customFormat="false" ht="13.5" hidden="false" customHeight="false" outlineLevel="0" collapsed="false">
      <c r="P74" s="0" t="str">
        <f aca="false">IF(COUNT(H74:O74)=0,"",((AVERAGE(H74:O74)-1)/4)*100)</f>
        <v/>
      </c>
      <c r="Y74" s="0" t="s">
        <v>230</v>
      </c>
    </row>
    <row r="75" customFormat="false" ht="13.5" hidden="false" customHeight="false" outlineLevel="0" collapsed="false">
      <c r="P75" s="0" t="str">
        <f aca="false">IF(COUNT(H75:O75)=0,"",((AVERAGE(H75:O75)-1)/4)*100)</f>
        <v/>
      </c>
      <c r="Y75" s="0" t="s">
        <v>230</v>
      </c>
    </row>
    <row r="76" customFormat="false" ht="13.5" hidden="false" customHeight="false" outlineLevel="0" collapsed="false">
      <c r="P76" s="0" t="str">
        <f aca="false">IF(COUNT(H76:O76)=0,"",((AVERAGE(H76:O76)-1)/4)*100)</f>
        <v/>
      </c>
      <c r="Y76" s="0" t="s">
        <v>230</v>
      </c>
    </row>
    <row r="77" customFormat="false" ht="13.5" hidden="false" customHeight="false" outlineLevel="0" collapsed="false">
      <c r="P77" s="0" t="str">
        <f aca="false">IF(COUNT(H77:O77)=0,"",((AVERAGE(H77:O77)-1)/4)*100)</f>
        <v/>
      </c>
      <c r="Y77" s="0" t="s">
        <v>230</v>
      </c>
    </row>
    <row r="78" customFormat="false" ht="13.5" hidden="false" customHeight="false" outlineLevel="0" collapsed="false">
      <c r="P78" s="0" t="str">
        <f aca="false">IF(COUNT(H78:O78)=0,"",((AVERAGE(H78:O78)-1)/4)*100)</f>
        <v/>
      </c>
      <c r="Y78" s="0" t="s">
        <v>230</v>
      </c>
    </row>
    <row r="79" customFormat="false" ht="13.5" hidden="false" customHeight="false" outlineLevel="0" collapsed="false">
      <c r="P79" s="0" t="str">
        <f aca="false">IF(COUNT(H79:O79)=0,"",((AVERAGE(H79:O79)-1)/4)*100)</f>
        <v/>
      </c>
      <c r="Y79" s="0" t="s">
        <v>230</v>
      </c>
    </row>
    <row r="80" customFormat="false" ht="13.5" hidden="false" customHeight="false" outlineLevel="0" collapsed="false">
      <c r="P80" s="0" t="str">
        <f aca="false">IF(COUNT(H80:O80)=0,"",((AVERAGE(H80:O80)-1)/4)*100)</f>
        <v/>
      </c>
      <c r="Y80" s="0" t="s">
        <v>230</v>
      </c>
    </row>
    <row r="81" customFormat="false" ht="13.5" hidden="false" customHeight="false" outlineLevel="0" collapsed="false">
      <c r="P81" s="0" t="str">
        <f aca="false">IF(COUNT(H81:O81)=0,"",((AVERAGE(H81:O81)-1)/4)*100)</f>
        <v/>
      </c>
      <c r="Y81" s="0" t="s">
        <v>230</v>
      </c>
    </row>
    <row r="82" customFormat="false" ht="13.5" hidden="false" customHeight="false" outlineLevel="0" collapsed="false">
      <c r="P82" s="0" t="str">
        <f aca="false">IF(COUNT(H82:O82)=0,"",((AVERAGE(H82:O82)-1)/4)*100)</f>
        <v/>
      </c>
      <c r="Y82" s="0" t="s">
        <v>230</v>
      </c>
    </row>
    <row r="83" customFormat="false" ht="13.5" hidden="false" customHeight="false" outlineLevel="0" collapsed="false">
      <c r="P83" s="0" t="str">
        <f aca="false">IF(COUNT(H83:O83)=0,"",((AVERAGE(H83:O83)-1)/4)*100)</f>
        <v/>
      </c>
      <c r="Y83" s="0" t="s">
        <v>230</v>
      </c>
    </row>
    <row r="84" customFormat="false" ht="13.5" hidden="false" customHeight="false" outlineLevel="0" collapsed="false">
      <c r="P84" s="0" t="str">
        <f aca="false">IF(COUNT(H84:O84)=0,"",((AVERAGE(H84:O84)-1)/4)*100)</f>
        <v/>
      </c>
      <c r="Y84" s="0" t="s">
        <v>230</v>
      </c>
    </row>
    <row r="85" customFormat="false" ht="13.5" hidden="false" customHeight="false" outlineLevel="0" collapsed="false">
      <c r="P85" s="0" t="str">
        <f aca="false">IF(COUNT(H85:O85)=0,"",((AVERAGE(H85:O85)-1)/4)*100)</f>
        <v/>
      </c>
      <c r="Y85" s="0" t="s">
        <v>230</v>
      </c>
    </row>
    <row r="86" customFormat="false" ht="13.5" hidden="false" customHeight="false" outlineLevel="0" collapsed="false">
      <c r="P86" s="0" t="str">
        <f aca="false">IF(COUNT(H86:O86)=0,"",((AVERAGE(H86:O86)-1)/4)*100)</f>
        <v/>
      </c>
      <c r="Y86" s="0" t="s">
        <v>230</v>
      </c>
    </row>
    <row r="87" customFormat="false" ht="13.5" hidden="false" customHeight="false" outlineLevel="0" collapsed="false">
      <c r="P87" s="0" t="str">
        <f aca="false">IF(COUNT(H87:O87)=0,"",((AVERAGE(H87:O87)-1)/4)*100)</f>
        <v/>
      </c>
      <c r="Y87" s="0" t="s">
        <v>230</v>
      </c>
    </row>
    <row r="88" customFormat="false" ht="13.5" hidden="false" customHeight="false" outlineLevel="0" collapsed="false">
      <c r="P88" s="0" t="str">
        <f aca="false">IF(COUNT(H88:O88)=0,"",((AVERAGE(H88:O88)-1)/4)*100)</f>
        <v/>
      </c>
      <c r="Y88" s="0" t="s">
        <v>230</v>
      </c>
    </row>
    <row r="89" customFormat="false" ht="13.5" hidden="false" customHeight="false" outlineLevel="0" collapsed="false">
      <c r="P89" s="0" t="str">
        <f aca="false">IF(COUNT(H89:O89)=0,"",((AVERAGE(H89:O89)-1)/4)*100)</f>
        <v/>
      </c>
      <c r="Y89" s="0" t="s">
        <v>230</v>
      </c>
    </row>
    <row r="90" customFormat="false" ht="13.5" hidden="false" customHeight="false" outlineLevel="0" collapsed="false">
      <c r="P90" s="0" t="str">
        <f aca="false">IF(COUNT(H90:O90)=0,"",((AVERAGE(H90:O90)-1)/4)*100)</f>
        <v/>
      </c>
      <c r="Y90" s="0" t="s">
        <v>230</v>
      </c>
    </row>
    <row r="91" customFormat="false" ht="13.5" hidden="false" customHeight="false" outlineLevel="0" collapsed="false">
      <c r="P91" s="0" t="str">
        <f aca="false">IF(COUNT(H91:O91)=0,"",((AVERAGE(H91:O91)-1)/4)*100)</f>
        <v/>
      </c>
      <c r="Y91" s="0" t="s">
        <v>230</v>
      </c>
    </row>
    <row r="92" customFormat="false" ht="13.5" hidden="false" customHeight="false" outlineLevel="0" collapsed="false">
      <c r="P92" s="0" t="str">
        <f aca="false">IF(COUNT(H92:O92)=0,"",((AVERAGE(H92:O92)-1)/4)*100)</f>
        <v/>
      </c>
      <c r="Y92" s="0" t="s">
        <v>230</v>
      </c>
    </row>
    <row r="93" customFormat="false" ht="13.5" hidden="false" customHeight="false" outlineLevel="0" collapsed="false">
      <c r="P93" s="0" t="str">
        <f aca="false">IF(COUNT(H93:O93)=0,"",((AVERAGE(H93:O93)-1)/4)*100)</f>
        <v/>
      </c>
      <c r="Y93" s="0" t="s">
        <v>230</v>
      </c>
    </row>
    <row r="94" customFormat="false" ht="13.5" hidden="false" customHeight="false" outlineLevel="0" collapsed="false">
      <c r="P94" s="0" t="str">
        <f aca="false">IF(COUNT(H94:O94)=0,"",((AVERAGE(H94:O94)-1)/4)*100)</f>
        <v/>
      </c>
      <c r="Y94" s="0" t="s">
        <v>230</v>
      </c>
    </row>
    <row r="95" customFormat="false" ht="13.5" hidden="false" customHeight="false" outlineLevel="0" collapsed="false">
      <c r="P95" s="0" t="str">
        <f aca="false">IF(COUNT(H95:O95)=0,"",((AVERAGE(H95:O95)-1)/4)*100)</f>
        <v/>
      </c>
      <c r="Y95" s="0" t="s">
        <v>230</v>
      </c>
    </row>
    <row r="96" customFormat="false" ht="13.5" hidden="false" customHeight="false" outlineLevel="0" collapsed="false">
      <c r="P96" s="0" t="str">
        <f aca="false">IF(COUNT(H96:O96)=0,"",((AVERAGE(H96:O96)-1)/4)*100)</f>
        <v/>
      </c>
      <c r="Y96" s="0" t="s">
        <v>230</v>
      </c>
    </row>
    <row r="97" customFormat="false" ht="13.5" hidden="false" customHeight="false" outlineLevel="0" collapsed="false">
      <c r="P97" s="0" t="str">
        <f aca="false">IF(COUNT(H97:O97)=0,"",((AVERAGE(H97:O97)-1)/4)*100)</f>
        <v/>
      </c>
      <c r="Y97" s="0" t="s">
        <v>230</v>
      </c>
    </row>
    <row r="98" customFormat="false" ht="13.5" hidden="false" customHeight="false" outlineLevel="0" collapsed="false">
      <c r="P98" s="0" t="str">
        <f aca="false">IF(COUNT(H98:O98)=0,"",((AVERAGE(H98:O98)-1)/4)*100)</f>
        <v/>
      </c>
      <c r="Y98" s="0" t="s">
        <v>230</v>
      </c>
    </row>
    <row r="99" customFormat="false" ht="13.5" hidden="false" customHeight="false" outlineLevel="0" collapsed="false">
      <c r="P99" s="0" t="str">
        <f aca="false">IF(COUNT(H99:O99)=0,"",((AVERAGE(H99:O99)-1)/4)*100)</f>
        <v/>
      </c>
      <c r="Y99" s="0" t="s">
        <v>230</v>
      </c>
    </row>
    <row r="100" customFormat="false" ht="13.5" hidden="false" customHeight="false" outlineLevel="0" collapsed="false">
      <c r="P100" s="0" t="str">
        <f aca="false">IF(COUNT(H100:O100)=0,"",((AVERAGE(H100:O100)-1)/4)*100)</f>
        <v/>
      </c>
      <c r="Y100" s="0" t="s">
        <v>230</v>
      </c>
    </row>
    <row r="101" customFormat="false" ht="13.5" hidden="false" customHeight="false" outlineLevel="0" collapsed="false">
      <c r="P101" s="0" t="str">
        <f aca="false">IF(COUNT(H101:O101)=0,"",((AVERAGE(H101:O101)-1)/4)*100)</f>
        <v/>
      </c>
      <c r="Y101" s="0" t="s">
        <v>230</v>
      </c>
    </row>
    <row r="102" customFormat="false" ht="13.5" hidden="false" customHeight="false" outlineLevel="0" collapsed="false">
      <c r="P102" s="0" t="str">
        <f aca="false">IF(COUNT(H102:O102)=0,"",((AVERAGE(H102:O102)-1)/4)*100)</f>
        <v/>
      </c>
      <c r="Y102" s="0" t="s">
        <v>230</v>
      </c>
    </row>
    <row r="103" customFormat="false" ht="13.5" hidden="false" customHeight="false" outlineLevel="0" collapsed="false">
      <c r="P103" s="0" t="str">
        <f aca="false">IF(COUNT(H103:O103)=0,"",((AVERAGE(H103:O103)-1)/4)*100)</f>
        <v/>
      </c>
      <c r="Y103" s="0" t="s">
        <v>230</v>
      </c>
    </row>
    <row r="104" customFormat="false" ht="13.5" hidden="false" customHeight="false" outlineLevel="0" collapsed="false">
      <c r="P104" s="0" t="str">
        <f aca="false">IF(COUNT(H104:O104)=0,"",((AVERAGE(H104:O104)-1)/4)*100)</f>
        <v/>
      </c>
      <c r="Y104" s="0" t="s">
        <v>230</v>
      </c>
    </row>
    <row r="105" customFormat="false" ht="13.5" hidden="false" customHeight="false" outlineLevel="0" collapsed="false">
      <c r="P105" s="0" t="str">
        <f aca="false">IF(COUNT(H105:O105)=0,"",((AVERAGE(H105:O105)-1)/4)*100)</f>
        <v/>
      </c>
      <c r="Y105" s="0" t="s">
        <v>230</v>
      </c>
    </row>
    <row r="106" customFormat="false" ht="13.5" hidden="false" customHeight="false" outlineLevel="0" collapsed="false">
      <c r="P106" s="0" t="str">
        <f aca="false">IF(COUNT(H106:O106)=0,"",((AVERAGE(H106:O106)-1)/4)*100)</f>
        <v/>
      </c>
      <c r="Y106" s="0" t="s">
        <v>230</v>
      </c>
    </row>
    <row r="107" customFormat="false" ht="13.5" hidden="false" customHeight="false" outlineLevel="0" collapsed="false">
      <c r="P107" s="0" t="str">
        <f aca="false">IF(COUNT(H107:O107)=0,"",((AVERAGE(H107:O107)-1)/4)*100)</f>
        <v/>
      </c>
      <c r="Y107" s="0" t="s">
        <v>230</v>
      </c>
    </row>
    <row r="108" customFormat="false" ht="13.5" hidden="false" customHeight="false" outlineLevel="0" collapsed="false">
      <c r="P108" s="0" t="str">
        <f aca="false">IF(COUNT(H108:O108)=0,"",((AVERAGE(H108:O108)-1)/4)*100)</f>
        <v/>
      </c>
      <c r="Y108" s="0" t="s">
        <v>230</v>
      </c>
    </row>
    <row r="109" customFormat="false" ht="13.5" hidden="false" customHeight="false" outlineLevel="0" collapsed="false">
      <c r="P109" s="0" t="str">
        <f aca="false">IF(COUNT(H109:O109)=0,"",((AVERAGE(H109:O109)-1)/4)*100)</f>
        <v/>
      </c>
      <c r="Y109" s="0" t="s">
        <v>230</v>
      </c>
    </row>
    <row r="110" customFormat="false" ht="13.5" hidden="false" customHeight="false" outlineLevel="0" collapsed="false">
      <c r="P110" s="0" t="str">
        <f aca="false">IF(COUNT(H110:O110)=0,"",((AVERAGE(H110:O110)-1)/4)*100)</f>
        <v/>
      </c>
      <c r="Y110" s="0" t="s">
        <v>230</v>
      </c>
    </row>
    <row r="111" customFormat="false" ht="13.5" hidden="false" customHeight="false" outlineLevel="0" collapsed="false">
      <c r="P111" s="0" t="str">
        <f aca="false">IF(COUNT(H111:O111)=0,"",((AVERAGE(H111:O111)-1)/4)*100)</f>
        <v/>
      </c>
      <c r="Y111" s="0" t="s">
        <v>230</v>
      </c>
    </row>
    <row r="112" customFormat="false" ht="13.5" hidden="false" customHeight="false" outlineLevel="0" collapsed="false">
      <c r="P112" s="0" t="str">
        <f aca="false">IF(COUNT(H112:O112)=0,"",((AVERAGE(H112:O112)-1)/4)*100)</f>
        <v/>
      </c>
      <c r="Y112" s="0" t="s">
        <v>230</v>
      </c>
    </row>
    <row r="113" customFormat="false" ht="13.5" hidden="false" customHeight="false" outlineLevel="0" collapsed="false">
      <c r="P113" s="0" t="str">
        <f aca="false">IF(COUNT(H113:O113)=0,"",((AVERAGE(H113:O113)-1)/4)*100)</f>
        <v/>
      </c>
      <c r="Y113" s="0" t="s">
        <v>230</v>
      </c>
    </row>
    <row r="114" customFormat="false" ht="13.5" hidden="false" customHeight="false" outlineLevel="0" collapsed="false">
      <c r="P114" s="0" t="str">
        <f aca="false">IF(COUNT(H114:O114)=0,"",((AVERAGE(H114:O114)-1)/4)*100)</f>
        <v/>
      </c>
      <c r="Y114" s="0" t="s">
        <v>230</v>
      </c>
    </row>
    <row r="115" customFormat="false" ht="13.5" hidden="false" customHeight="false" outlineLevel="0" collapsed="false">
      <c r="P115" s="0" t="str">
        <f aca="false">IF(COUNT(H115:O115)=0,"",((AVERAGE(H115:O115)-1)/4)*100)</f>
        <v/>
      </c>
      <c r="Y115" s="0" t="s">
        <v>230</v>
      </c>
    </row>
    <row r="116" customFormat="false" ht="13.5" hidden="false" customHeight="false" outlineLevel="0" collapsed="false">
      <c r="P116" s="0" t="str">
        <f aca="false">IF(COUNT(H116:O116)=0,"",((AVERAGE(H116:O116)-1)/4)*100)</f>
        <v/>
      </c>
      <c r="Y116" s="0" t="s">
        <v>230</v>
      </c>
    </row>
    <row r="117" customFormat="false" ht="13.5" hidden="false" customHeight="false" outlineLevel="0" collapsed="false">
      <c r="P117" s="0" t="str">
        <f aca="false">IF(COUNT(H117:O117)=0,"",((AVERAGE(H117:O117)-1)/4)*100)</f>
        <v/>
      </c>
      <c r="Y117" s="0" t="s">
        <v>230</v>
      </c>
    </row>
    <row r="118" customFormat="false" ht="13.5" hidden="false" customHeight="false" outlineLevel="0" collapsed="false">
      <c r="P118" s="0" t="str">
        <f aca="false">IF(COUNT(H118:O118)=0,"",((AVERAGE(H118:O118)-1)/4)*100)</f>
        <v/>
      </c>
      <c r="Y118" s="0" t="s">
        <v>230</v>
      </c>
    </row>
    <row r="119" customFormat="false" ht="13.5" hidden="false" customHeight="false" outlineLevel="0" collapsed="false">
      <c r="P119" s="0" t="str">
        <f aca="false">IF(COUNT(H119:O119)=0,"",((AVERAGE(H119:O119)-1)/4)*100)</f>
        <v/>
      </c>
      <c r="Y119" s="0" t="s">
        <v>230</v>
      </c>
    </row>
    <row r="120" customFormat="false" ht="13.5" hidden="false" customHeight="false" outlineLevel="0" collapsed="false">
      <c r="P120" s="0" t="str">
        <f aca="false">IF(COUNT(H120:O120)=0,"",((AVERAGE(H120:O120)-1)/4)*100)</f>
        <v/>
      </c>
      <c r="Y120" s="0" t="s">
        <v>230</v>
      </c>
    </row>
    <row r="121" customFormat="false" ht="13.5" hidden="false" customHeight="false" outlineLevel="0" collapsed="false">
      <c r="P121" s="0" t="str">
        <f aca="false">IF(COUNT(H121:O121)=0,"",((AVERAGE(H121:O121)-1)/4)*100)</f>
        <v/>
      </c>
      <c r="Y121" s="0" t="s">
        <v>230</v>
      </c>
    </row>
    <row r="122" customFormat="false" ht="13.5" hidden="false" customHeight="false" outlineLevel="0" collapsed="false">
      <c r="P122" s="0" t="str">
        <f aca="false">IF(COUNT(H122:O122)=0,"",((AVERAGE(H122:O122)-1)/4)*100)</f>
        <v/>
      </c>
      <c r="Y122" s="0" t="s">
        <v>230</v>
      </c>
    </row>
    <row r="123" customFormat="false" ht="13.5" hidden="false" customHeight="false" outlineLevel="0" collapsed="false">
      <c r="P123" s="0" t="str">
        <f aca="false">IF(COUNT(H123:O123)=0,"",((AVERAGE(H123:O123)-1)/4)*100)</f>
        <v/>
      </c>
      <c r="Y123" s="0" t="s">
        <v>230</v>
      </c>
    </row>
    <row r="124" customFormat="false" ht="13.5" hidden="false" customHeight="false" outlineLevel="0" collapsed="false">
      <c r="P124" s="0" t="str">
        <f aca="false">IF(COUNT(H124:O124)=0,"",((AVERAGE(H124:O124)-1)/4)*100)</f>
        <v/>
      </c>
      <c r="Y124" s="0" t="s">
        <v>230</v>
      </c>
    </row>
    <row r="125" customFormat="false" ht="13.5" hidden="false" customHeight="false" outlineLevel="0" collapsed="false">
      <c r="P125" s="0" t="str">
        <f aca="false">IF(COUNT(H125:O125)=0,"",((AVERAGE(H125:O125)-1)/4)*100)</f>
        <v/>
      </c>
      <c r="Y125" s="0" t="s">
        <v>230</v>
      </c>
    </row>
    <row r="126" customFormat="false" ht="13.5" hidden="false" customHeight="false" outlineLevel="0" collapsed="false">
      <c r="P126" s="0" t="str">
        <f aca="false">IF(COUNT(H126:O126)=0,"",((AVERAGE(H126:O126)-1)/4)*100)</f>
        <v/>
      </c>
      <c r="Y126" s="0" t="s">
        <v>230</v>
      </c>
    </row>
    <row r="127" customFormat="false" ht="13.5" hidden="false" customHeight="false" outlineLevel="0" collapsed="false">
      <c r="P127" s="0" t="str">
        <f aca="false">IF(COUNT(H127:O127)=0,"",((AVERAGE(H127:O127)-1)/4)*100)</f>
        <v/>
      </c>
      <c r="Y127" s="0" t="s">
        <v>230</v>
      </c>
    </row>
    <row r="128" customFormat="false" ht="13.5" hidden="false" customHeight="false" outlineLevel="0" collapsed="false">
      <c r="P128" s="0" t="str">
        <f aca="false">IF(COUNT(H128:O128)=0,"",((AVERAGE(H128:O128)-1)/4)*100)</f>
        <v/>
      </c>
      <c r="Y128" s="0" t="s">
        <v>230</v>
      </c>
    </row>
    <row r="129" customFormat="false" ht="13.5" hidden="false" customHeight="false" outlineLevel="0" collapsed="false">
      <c r="P129" s="0" t="str">
        <f aca="false">IF(COUNT(H129:O129)=0,"",((AVERAGE(H129:O129)-1)/4)*100)</f>
        <v/>
      </c>
      <c r="Y129" s="0" t="s">
        <v>230</v>
      </c>
    </row>
    <row r="130" customFormat="false" ht="13.5" hidden="false" customHeight="false" outlineLevel="0" collapsed="false">
      <c r="P130" s="0" t="str">
        <f aca="false">IF(COUNT(H130:O130)=0,"",((AVERAGE(H130:O130)-1)/4)*100)</f>
        <v/>
      </c>
      <c r="Y130" s="0" t="s">
        <v>230</v>
      </c>
    </row>
    <row r="131" customFormat="false" ht="13.5" hidden="false" customHeight="false" outlineLevel="0" collapsed="false">
      <c r="P131" s="0" t="str">
        <f aca="false">IF(COUNT(H131:O131)=0,"",((AVERAGE(H131:O131)-1)/4)*100)</f>
        <v/>
      </c>
      <c r="Y131" s="0" t="s">
        <v>230</v>
      </c>
    </row>
    <row r="132" customFormat="false" ht="13.5" hidden="false" customHeight="false" outlineLevel="0" collapsed="false">
      <c r="P132" s="0" t="str">
        <f aca="false">IF(COUNT(H132:O132)=0,"",((AVERAGE(H132:O132)-1)/4)*100)</f>
        <v/>
      </c>
      <c r="Y132" s="0" t="s">
        <v>230</v>
      </c>
    </row>
    <row r="133" customFormat="false" ht="13.5" hidden="false" customHeight="false" outlineLevel="0" collapsed="false">
      <c r="P133" s="0" t="str">
        <f aca="false">IF(COUNT(H133:O133)=0,"",((AVERAGE(H133:O133)-1)/4)*100)</f>
        <v/>
      </c>
      <c r="Y133" s="0" t="s">
        <v>230</v>
      </c>
    </row>
    <row r="134" customFormat="false" ht="13.5" hidden="false" customHeight="false" outlineLevel="0" collapsed="false">
      <c r="P134" s="0" t="str">
        <f aca="false">IF(COUNT(H134:O134)=0,"",((AVERAGE(H134:O134)-1)/4)*100)</f>
        <v/>
      </c>
      <c r="Y134" s="0" t="s">
        <v>230</v>
      </c>
    </row>
    <row r="135" customFormat="false" ht="13.5" hidden="false" customHeight="false" outlineLevel="0" collapsed="false">
      <c r="P135" s="0" t="str">
        <f aca="false">IF(COUNT(H135:O135)=0,"",((AVERAGE(H135:O135)-1)/4)*100)</f>
        <v/>
      </c>
      <c r="Y135" s="0" t="s">
        <v>230</v>
      </c>
    </row>
    <row r="136" customFormat="false" ht="13.5" hidden="false" customHeight="false" outlineLevel="0" collapsed="false">
      <c r="P136" s="0" t="str">
        <f aca="false">IF(COUNT(H136:O136)=0,"",((AVERAGE(H136:O136)-1)/4)*100)</f>
        <v/>
      </c>
      <c r="Y136" s="0" t="s">
        <v>230</v>
      </c>
    </row>
    <row r="137" customFormat="false" ht="13.5" hidden="false" customHeight="false" outlineLevel="0" collapsed="false">
      <c r="P137" s="0" t="str">
        <f aca="false">IF(COUNT(H137:O137)=0,"",((AVERAGE(H137:O137)-1)/4)*100)</f>
        <v/>
      </c>
      <c r="Y137" s="0" t="s">
        <v>230</v>
      </c>
    </row>
    <row r="138" customFormat="false" ht="13.5" hidden="false" customHeight="false" outlineLevel="0" collapsed="false">
      <c r="P138" s="0" t="str">
        <f aca="false">IF(COUNT(H138:O138)=0,"",((AVERAGE(H138:O138)-1)/4)*100)</f>
        <v/>
      </c>
      <c r="Y138" s="0" t="s">
        <v>230</v>
      </c>
    </row>
    <row r="139" customFormat="false" ht="13.5" hidden="false" customHeight="false" outlineLevel="0" collapsed="false">
      <c r="P139" s="0" t="str">
        <f aca="false">IF(COUNT(H139:O139)=0,"",((AVERAGE(H139:O139)-1)/4)*100)</f>
        <v/>
      </c>
      <c r="Y139" s="0" t="s">
        <v>230</v>
      </c>
    </row>
    <row r="140" customFormat="false" ht="13.5" hidden="false" customHeight="false" outlineLevel="0" collapsed="false">
      <c r="P140" s="0" t="str">
        <f aca="false">IF(COUNT(H140:O140)=0,"",((AVERAGE(H140:O140)-1)/4)*100)</f>
        <v/>
      </c>
      <c r="Y140" s="0" t="s">
        <v>230</v>
      </c>
    </row>
    <row r="141" customFormat="false" ht="13.5" hidden="false" customHeight="false" outlineLevel="0" collapsed="false">
      <c r="P141" s="0" t="str">
        <f aca="false">IF(COUNT(H141:O141)=0,"",((AVERAGE(H141:O141)-1)/4)*100)</f>
        <v/>
      </c>
      <c r="Y141" s="0" t="s">
        <v>230</v>
      </c>
    </row>
    <row r="142" customFormat="false" ht="13.5" hidden="false" customHeight="false" outlineLevel="0" collapsed="false">
      <c r="P142" s="0" t="str">
        <f aca="false">IF(COUNT(H142:O142)=0,"",((AVERAGE(H142:O142)-1)/4)*100)</f>
        <v/>
      </c>
      <c r="Y142" s="0" t="s">
        <v>230</v>
      </c>
    </row>
    <row r="143" customFormat="false" ht="13.5" hidden="false" customHeight="false" outlineLevel="0" collapsed="false">
      <c r="P143" s="0" t="str">
        <f aca="false">IF(COUNT(H143:O143)=0,"",((AVERAGE(H143:O143)-1)/4)*100)</f>
        <v/>
      </c>
      <c r="Y143" s="0" t="s">
        <v>230</v>
      </c>
    </row>
    <row r="144" customFormat="false" ht="13.5" hidden="false" customHeight="false" outlineLevel="0" collapsed="false">
      <c r="P144" s="0" t="str">
        <f aca="false">IF(COUNT(H144:O144)=0,"",((AVERAGE(H144:O144)-1)/4)*100)</f>
        <v/>
      </c>
      <c r="Y144" s="0" t="s">
        <v>230</v>
      </c>
    </row>
    <row r="145" customFormat="false" ht="13.5" hidden="false" customHeight="false" outlineLevel="0" collapsed="false">
      <c r="P145" s="0" t="str">
        <f aca="false">IF(COUNT(H145:O145)=0,"",((AVERAGE(H145:O145)-1)/4)*100)</f>
        <v/>
      </c>
      <c r="Y145" s="0" t="s">
        <v>230</v>
      </c>
    </row>
    <row r="146" customFormat="false" ht="13.5" hidden="false" customHeight="false" outlineLevel="0" collapsed="false">
      <c r="P146" s="0" t="str">
        <f aca="false">IF(COUNT(H146:O146)=0,"",((AVERAGE(H146:O146)-1)/4)*100)</f>
        <v/>
      </c>
      <c r="Y146" s="0" t="s">
        <v>230</v>
      </c>
    </row>
    <row r="147" customFormat="false" ht="13.5" hidden="false" customHeight="false" outlineLevel="0" collapsed="false">
      <c r="P147" s="0" t="str">
        <f aca="false">IF(COUNT(H147:O147)=0,"",((AVERAGE(H147:O147)-1)/4)*100)</f>
        <v/>
      </c>
      <c r="Y147" s="0" t="s">
        <v>230</v>
      </c>
    </row>
    <row r="148" customFormat="false" ht="13.5" hidden="false" customHeight="false" outlineLevel="0" collapsed="false">
      <c r="P148" s="0" t="str">
        <f aca="false">IF(COUNT(H148:O148)=0,"",((AVERAGE(H148:O148)-1)/4)*100)</f>
        <v/>
      </c>
      <c r="Y148" s="0" t="s">
        <v>230</v>
      </c>
    </row>
    <row r="149" customFormat="false" ht="13.5" hidden="false" customHeight="false" outlineLevel="0" collapsed="false">
      <c r="P149" s="0" t="str">
        <f aca="false">IF(COUNT(H149:O149)=0,"",((AVERAGE(H149:O149)-1)/4)*100)</f>
        <v/>
      </c>
      <c r="Y149" s="0" t="s">
        <v>230</v>
      </c>
    </row>
    <row r="150" customFormat="false" ht="13.5" hidden="false" customHeight="false" outlineLevel="0" collapsed="false">
      <c r="P150" s="0" t="str">
        <f aca="false">IF(COUNT(H150:O150)=0,"",((AVERAGE(H150:O150)-1)/4)*100)</f>
        <v/>
      </c>
      <c r="Y150" s="0" t="s">
        <v>230</v>
      </c>
    </row>
    <row r="151" customFormat="false" ht="13.5" hidden="false" customHeight="false" outlineLevel="0" collapsed="false">
      <c r="P151" s="0" t="str">
        <f aca="false">IF(COUNT(H151:O151)=0,"",((AVERAGE(H151:O151)-1)/4)*100)</f>
        <v/>
      </c>
      <c r="Y151" s="0" t="s">
        <v>230</v>
      </c>
    </row>
    <row r="152" customFormat="false" ht="13.5" hidden="false" customHeight="false" outlineLevel="0" collapsed="false">
      <c r="P152" s="0" t="str">
        <f aca="false">IF(COUNT(H152:O152)=0,"",((AVERAGE(H152:O152)-1)/4)*100)</f>
        <v/>
      </c>
      <c r="Y152" s="0" t="s">
        <v>230</v>
      </c>
    </row>
    <row r="153" customFormat="false" ht="13.5" hidden="false" customHeight="false" outlineLevel="0" collapsed="false">
      <c r="P153" s="0" t="str">
        <f aca="false">IF(COUNT(H153:O153)=0,"",((AVERAGE(H153:O153)-1)/4)*100)</f>
        <v/>
      </c>
      <c r="Y153" s="0" t="s">
        <v>230</v>
      </c>
    </row>
    <row r="154" customFormat="false" ht="13.5" hidden="false" customHeight="false" outlineLevel="0" collapsed="false">
      <c r="P154" s="0" t="str">
        <f aca="false">IF(COUNT(H154:O154)=0,"",((AVERAGE(H154:O154)-1)/4)*100)</f>
        <v/>
      </c>
      <c r="Y154" s="0" t="s">
        <v>230</v>
      </c>
    </row>
    <row r="155" customFormat="false" ht="13.5" hidden="false" customHeight="false" outlineLevel="0" collapsed="false">
      <c r="P155" s="0" t="str">
        <f aca="false">IF(COUNT(H155:O155)=0,"",((AVERAGE(H155:O155)-1)/4)*100)</f>
        <v/>
      </c>
      <c r="Y155" s="0" t="s">
        <v>230</v>
      </c>
    </row>
    <row r="156" customFormat="false" ht="13.5" hidden="false" customHeight="false" outlineLevel="0" collapsed="false">
      <c r="P156" s="0" t="str">
        <f aca="false">IF(COUNT(H156:O156)=0,"",((AVERAGE(H156:O156)-1)/4)*100)</f>
        <v/>
      </c>
      <c r="Y156" s="0" t="s">
        <v>230</v>
      </c>
    </row>
    <row r="157" customFormat="false" ht="13.5" hidden="false" customHeight="false" outlineLevel="0" collapsed="false">
      <c r="P157" s="0" t="str">
        <f aca="false">IF(COUNT(H157:O157)=0,"",((AVERAGE(H157:O157)-1)/4)*100)</f>
        <v/>
      </c>
      <c r="Y157" s="0" t="s">
        <v>230</v>
      </c>
    </row>
    <row r="158" customFormat="false" ht="13.5" hidden="false" customHeight="false" outlineLevel="0" collapsed="false">
      <c r="P158" s="0" t="str">
        <f aca="false">IF(COUNT(H158:O158)=0,"",((AVERAGE(H158:O158)-1)/4)*100)</f>
        <v/>
      </c>
      <c r="Y158" s="0" t="s">
        <v>230</v>
      </c>
    </row>
    <row r="159" customFormat="false" ht="13.5" hidden="false" customHeight="false" outlineLevel="0" collapsed="false">
      <c r="P159" s="0" t="str">
        <f aca="false">IF(COUNT(H159:O159)=0,"",((AVERAGE(H159:O159)-1)/4)*100)</f>
        <v/>
      </c>
      <c r="Y159" s="0" t="s">
        <v>230</v>
      </c>
    </row>
    <row r="160" customFormat="false" ht="13.5" hidden="false" customHeight="false" outlineLevel="0" collapsed="false">
      <c r="P160" s="0" t="str">
        <f aca="false">IF(COUNT(H160:O160)=0,"",((AVERAGE(H160:O160)-1)/4)*100)</f>
        <v/>
      </c>
      <c r="Y160" s="0" t="s">
        <v>230</v>
      </c>
    </row>
    <row r="161" customFormat="false" ht="13.5" hidden="false" customHeight="false" outlineLevel="0" collapsed="false">
      <c r="P161" s="0" t="str">
        <f aca="false">IF(COUNT(H161:O161)=0,"",((AVERAGE(H161:O161)-1)/4)*100)</f>
        <v/>
      </c>
      <c r="Y161" s="0" t="s">
        <v>230</v>
      </c>
    </row>
    <row r="162" customFormat="false" ht="13.5" hidden="false" customHeight="false" outlineLevel="0" collapsed="false">
      <c r="P162" s="0" t="str">
        <f aca="false">IF(COUNT(H162:O162)=0,"",((AVERAGE(H162:O162)-1)/4)*100)</f>
        <v/>
      </c>
      <c r="Y162" s="0" t="s">
        <v>230</v>
      </c>
    </row>
    <row r="163" customFormat="false" ht="13.5" hidden="false" customHeight="false" outlineLevel="0" collapsed="false">
      <c r="P163" s="0" t="str">
        <f aca="false">IF(COUNT(H163:O163)=0,"",((AVERAGE(H163:O163)-1)/4)*100)</f>
        <v/>
      </c>
      <c r="Y163" s="0" t="s">
        <v>230</v>
      </c>
    </row>
    <row r="164" customFormat="false" ht="13.5" hidden="false" customHeight="false" outlineLevel="0" collapsed="false">
      <c r="P164" s="0" t="str">
        <f aca="false">IF(COUNT(H164:O164)=0,"",((AVERAGE(H164:O164)-1)/4)*100)</f>
        <v/>
      </c>
      <c r="Y164" s="0" t="s">
        <v>230</v>
      </c>
    </row>
    <row r="165" customFormat="false" ht="13.5" hidden="false" customHeight="false" outlineLevel="0" collapsed="false">
      <c r="P165" s="0" t="str">
        <f aca="false">IF(COUNT(H165:O165)=0,"",((AVERAGE(H165:O165)-1)/4)*100)</f>
        <v/>
      </c>
      <c r="Y165" s="0" t="s">
        <v>230</v>
      </c>
    </row>
    <row r="166" customFormat="false" ht="13.5" hidden="false" customHeight="false" outlineLevel="0" collapsed="false">
      <c r="P166" s="0" t="str">
        <f aca="false">IF(COUNT(H166:O166)=0,"",((AVERAGE(H166:O166)-1)/4)*100)</f>
        <v/>
      </c>
      <c r="Y166" s="0" t="s">
        <v>230</v>
      </c>
    </row>
    <row r="167" customFormat="false" ht="13.5" hidden="false" customHeight="false" outlineLevel="0" collapsed="false">
      <c r="P167" s="0" t="str">
        <f aca="false">IF(COUNT(H167:O167)=0,"",((AVERAGE(H167:O167)-1)/4)*100)</f>
        <v/>
      </c>
      <c r="Y167" s="0" t="s">
        <v>230</v>
      </c>
    </row>
    <row r="168" customFormat="false" ht="13.5" hidden="false" customHeight="false" outlineLevel="0" collapsed="false">
      <c r="P168" s="0" t="str">
        <f aca="false">IF(COUNT(H168:O168)=0,"",((AVERAGE(H168:O168)-1)/4)*100)</f>
        <v/>
      </c>
      <c r="Y168" s="0" t="s">
        <v>230</v>
      </c>
    </row>
    <row r="169" customFormat="false" ht="13.5" hidden="false" customHeight="false" outlineLevel="0" collapsed="false">
      <c r="P169" s="0" t="str">
        <f aca="false">IF(COUNT(H169:O169)=0,"",((AVERAGE(H169:O169)-1)/4)*100)</f>
        <v/>
      </c>
      <c r="Y169" s="0" t="s">
        <v>230</v>
      </c>
    </row>
    <row r="170" customFormat="false" ht="13.5" hidden="false" customHeight="false" outlineLevel="0" collapsed="false">
      <c r="P170" s="0" t="str">
        <f aca="false">IF(COUNT(H170:O170)=0,"",((AVERAGE(H170:O170)-1)/4)*100)</f>
        <v/>
      </c>
      <c r="Y170" s="0" t="s">
        <v>230</v>
      </c>
    </row>
    <row r="171" customFormat="false" ht="13.5" hidden="false" customHeight="false" outlineLevel="0" collapsed="false">
      <c r="P171" s="0" t="str">
        <f aca="false">IF(COUNT(H171:O171)=0,"",((AVERAGE(H171:O171)-1)/4)*100)</f>
        <v/>
      </c>
      <c r="Y171" s="0" t="s">
        <v>230</v>
      </c>
    </row>
    <row r="172" customFormat="false" ht="13.5" hidden="false" customHeight="false" outlineLevel="0" collapsed="false">
      <c r="P172" s="0" t="str">
        <f aca="false">IF(COUNT(H172:O172)=0,"",((AVERAGE(H172:O172)-1)/4)*100)</f>
        <v/>
      </c>
      <c r="Y172" s="0" t="s">
        <v>230</v>
      </c>
    </row>
    <row r="173" customFormat="false" ht="13.5" hidden="false" customHeight="false" outlineLevel="0" collapsed="false">
      <c r="P173" s="0" t="str">
        <f aca="false">IF(COUNT(H173:O173)=0,"",((AVERAGE(H173:O173)-1)/4)*100)</f>
        <v/>
      </c>
      <c r="Y173" s="0" t="s">
        <v>230</v>
      </c>
    </row>
    <row r="174" customFormat="false" ht="13.5" hidden="false" customHeight="false" outlineLevel="0" collapsed="false">
      <c r="P174" s="0" t="str">
        <f aca="false">IF(COUNT(H174:O174)=0,"",((AVERAGE(H174:O174)-1)/4)*100)</f>
        <v/>
      </c>
      <c r="Y174" s="0" t="s">
        <v>230</v>
      </c>
    </row>
    <row r="175" customFormat="false" ht="13.5" hidden="false" customHeight="false" outlineLevel="0" collapsed="false">
      <c r="P175" s="0" t="str">
        <f aca="false">IF(COUNT(H175:O175)=0,"",((AVERAGE(H175:O175)-1)/4)*100)</f>
        <v/>
      </c>
      <c r="Y175" s="0" t="s">
        <v>230</v>
      </c>
    </row>
    <row r="176" customFormat="false" ht="13.5" hidden="false" customHeight="false" outlineLevel="0" collapsed="false">
      <c r="P176" s="0" t="str">
        <f aca="false">IF(COUNT(H176:O176)=0,"",((AVERAGE(H176:O176)-1)/4)*100)</f>
        <v/>
      </c>
      <c r="Y176" s="0" t="s">
        <v>230</v>
      </c>
    </row>
    <row r="177" customFormat="false" ht="13.5" hidden="false" customHeight="false" outlineLevel="0" collapsed="false">
      <c r="P177" s="0" t="str">
        <f aca="false">IF(COUNT(H177:O177)=0,"",((AVERAGE(H177:O177)-1)/4)*100)</f>
        <v/>
      </c>
      <c r="Y177" s="0" t="s">
        <v>230</v>
      </c>
    </row>
    <row r="178" customFormat="false" ht="13.5" hidden="false" customHeight="false" outlineLevel="0" collapsed="false">
      <c r="P178" s="0" t="str">
        <f aca="false">IF(COUNT(H178:O178)=0,"",((AVERAGE(H178:O178)-1)/4)*100)</f>
        <v/>
      </c>
      <c r="Y178" s="0" t="s">
        <v>230</v>
      </c>
    </row>
    <row r="179" customFormat="false" ht="13.5" hidden="false" customHeight="false" outlineLevel="0" collapsed="false">
      <c r="P179" s="0" t="str">
        <f aca="false">IF(COUNT(H179:O179)=0,"",((AVERAGE(H179:O179)-1)/4)*100)</f>
        <v/>
      </c>
      <c r="Y179" s="0" t="s">
        <v>230</v>
      </c>
    </row>
    <row r="180" customFormat="false" ht="13.5" hidden="false" customHeight="false" outlineLevel="0" collapsed="false">
      <c r="P180" s="0" t="str">
        <f aca="false">IF(COUNT(H180:O180)=0,"",((AVERAGE(H180:O180)-1)/4)*100)</f>
        <v/>
      </c>
      <c r="Y180" s="0" t="s">
        <v>230</v>
      </c>
    </row>
    <row r="181" customFormat="false" ht="13.5" hidden="false" customHeight="false" outlineLevel="0" collapsed="false">
      <c r="P181" s="0" t="str">
        <f aca="false">IF(COUNT(H181:O181)=0,"",((AVERAGE(H181:O181)-1)/4)*100)</f>
        <v/>
      </c>
      <c r="Y181" s="0" t="s">
        <v>230</v>
      </c>
    </row>
    <row r="182" customFormat="false" ht="13.5" hidden="false" customHeight="false" outlineLevel="0" collapsed="false">
      <c r="P182" s="0" t="str">
        <f aca="false">IF(COUNT(H182:O182)=0,"",((AVERAGE(H182:O182)-1)/4)*100)</f>
        <v/>
      </c>
      <c r="Y182" s="0" t="s">
        <v>230</v>
      </c>
    </row>
    <row r="183" customFormat="false" ht="13.5" hidden="false" customHeight="false" outlineLevel="0" collapsed="false">
      <c r="P183" s="0" t="str">
        <f aca="false">IF(COUNT(H183:O183)=0,"",((AVERAGE(H183:O183)-1)/4)*100)</f>
        <v/>
      </c>
      <c r="Y183" s="0" t="s">
        <v>230</v>
      </c>
    </row>
    <row r="184" customFormat="false" ht="13.5" hidden="false" customHeight="false" outlineLevel="0" collapsed="false">
      <c r="P184" s="0" t="str">
        <f aca="false">IF(COUNT(H184:O184)=0,"",((AVERAGE(H184:O184)-1)/4)*100)</f>
        <v/>
      </c>
      <c r="Y184" s="0" t="s">
        <v>230</v>
      </c>
    </row>
    <row r="185" customFormat="false" ht="13.5" hidden="false" customHeight="false" outlineLevel="0" collapsed="false">
      <c r="P185" s="0" t="str">
        <f aca="false">IF(COUNT(H185:O185)=0,"",((AVERAGE(H185:O185)-1)/4)*100)</f>
        <v/>
      </c>
      <c r="Y185" s="0" t="s">
        <v>230</v>
      </c>
    </row>
    <row r="186" customFormat="false" ht="13.5" hidden="false" customHeight="false" outlineLevel="0" collapsed="false">
      <c r="P186" s="0" t="str">
        <f aca="false">IF(COUNT(H186:O186)=0,"",((AVERAGE(H186:O186)-1)/4)*100)</f>
        <v/>
      </c>
      <c r="Y186" s="0" t="s">
        <v>230</v>
      </c>
    </row>
    <row r="187" customFormat="false" ht="13.5" hidden="false" customHeight="false" outlineLevel="0" collapsed="false">
      <c r="P187" s="0" t="str">
        <f aca="false">IF(COUNT(H187:O187)=0,"",((AVERAGE(H187:O187)-1)/4)*100)</f>
        <v/>
      </c>
      <c r="Y187" s="0" t="s">
        <v>230</v>
      </c>
    </row>
    <row r="188" customFormat="false" ht="13.5" hidden="false" customHeight="false" outlineLevel="0" collapsed="false">
      <c r="P188" s="0" t="str">
        <f aca="false">IF(COUNT(H188:O188)=0,"",((AVERAGE(H188:O188)-1)/4)*100)</f>
        <v/>
      </c>
      <c r="Y188" s="0" t="s">
        <v>230</v>
      </c>
    </row>
    <row r="189" customFormat="false" ht="13.5" hidden="false" customHeight="false" outlineLevel="0" collapsed="false">
      <c r="P189" s="0" t="str">
        <f aca="false">IF(COUNT(H189:O189)=0,"",((AVERAGE(H189:O189)-1)/4)*100)</f>
        <v/>
      </c>
      <c r="Y189" s="0" t="s">
        <v>230</v>
      </c>
    </row>
    <row r="190" customFormat="false" ht="13.5" hidden="false" customHeight="false" outlineLevel="0" collapsed="false">
      <c r="P190" s="0" t="str">
        <f aca="false">IF(COUNT(H190:O190)=0,"",((AVERAGE(H190:O190)-1)/4)*100)</f>
        <v/>
      </c>
      <c r="Y190" s="0" t="s">
        <v>230</v>
      </c>
    </row>
    <row r="191" customFormat="false" ht="13.5" hidden="false" customHeight="false" outlineLevel="0" collapsed="false">
      <c r="P191" s="0" t="str">
        <f aca="false">IF(COUNT(H191:O191)=0,"",((AVERAGE(H191:O191)-1)/4)*100)</f>
        <v/>
      </c>
      <c r="Y191" s="0" t="s">
        <v>230</v>
      </c>
    </row>
    <row r="192" customFormat="false" ht="13.5" hidden="false" customHeight="false" outlineLevel="0" collapsed="false">
      <c r="P192" s="0" t="str">
        <f aca="false">IF(COUNT(H192:O192)=0,"",((AVERAGE(H192:O192)-1)/4)*100)</f>
        <v/>
      </c>
      <c r="Y192" s="0" t="s">
        <v>230</v>
      </c>
    </row>
    <row r="193" customFormat="false" ht="13.5" hidden="false" customHeight="false" outlineLevel="0" collapsed="false">
      <c r="P193" s="0" t="str">
        <f aca="false">IF(COUNT(H193:O193)=0,"",((AVERAGE(H193:O193)-1)/4)*100)</f>
        <v/>
      </c>
      <c r="Y193" s="0" t="s">
        <v>230</v>
      </c>
    </row>
    <row r="194" customFormat="false" ht="13.5" hidden="false" customHeight="false" outlineLevel="0" collapsed="false">
      <c r="P194" s="0" t="str">
        <f aca="false">IF(COUNT(H194:O194)=0,"",((AVERAGE(H194:O194)-1)/4)*100)</f>
        <v/>
      </c>
      <c r="Y194" s="0" t="s">
        <v>230</v>
      </c>
    </row>
    <row r="195" customFormat="false" ht="13.5" hidden="false" customHeight="false" outlineLevel="0" collapsed="false">
      <c r="P195" s="0" t="str">
        <f aca="false">IF(COUNT(H195:O195)=0,"",((AVERAGE(H195:O195)-1)/4)*100)</f>
        <v/>
      </c>
      <c r="Y195" s="0" t="s">
        <v>230</v>
      </c>
    </row>
    <row r="196" customFormat="false" ht="13.5" hidden="false" customHeight="false" outlineLevel="0" collapsed="false">
      <c r="P196" s="0" t="str">
        <f aca="false">IF(COUNT(H196:O196)=0,"",((AVERAGE(H196:O196)-1)/4)*100)</f>
        <v/>
      </c>
      <c r="Y196" s="0" t="s">
        <v>230</v>
      </c>
    </row>
    <row r="197" customFormat="false" ht="13.5" hidden="false" customHeight="false" outlineLevel="0" collapsed="false">
      <c r="P197" s="0" t="str">
        <f aca="false">IF(COUNT(H197:O197)=0,"",((AVERAGE(H197:O197)-1)/4)*100)</f>
        <v/>
      </c>
      <c r="Y197" s="0" t="s">
        <v>230</v>
      </c>
    </row>
    <row r="198" customFormat="false" ht="13.5" hidden="false" customHeight="false" outlineLevel="0" collapsed="false">
      <c r="P198" s="0" t="str">
        <f aca="false">IF(COUNT(H198:O198)=0,"",((AVERAGE(H198:O198)-1)/4)*100)</f>
        <v/>
      </c>
      <c r="Y198" s="0" t="s">
        <v>230</v>
      </c>
    </row>
    <row r="199" customFormat="false" ht="13.5" hidden="false" customHeight="false" outlineLevel="0" collapsed="false">
      <c r="P199" s="0" t="str">
        <f aca="false">IF(COUNT(H199:O199)=0,"",((AVERAGE(H199:O199)-1)/4)*100)</f>
        <v/>
      </c>
      <c r="Y199" s="0" t="s">
        <v>230</v>
      </c>
    </row>
    <row r="200" customFormat="false" ht="13.5" hidden="false" customHeight="false" outlineLevel="0" collapsed="false">
      <c r="P200" s="0" t="str">
        <f aca="false">IF(COUNT(H200:O200)=0,"",((AVERAGE(H200:O200)-1)/4)*100)</f>
        <v/>
      </c>
      <c r="Y200" s="0" t="s">
        <v>230</v>
      </c>
    </row>
  </sheetData>
  <mergeCells count="1">
    <mergeCell ref="H3:U3"/>
  </mergeCells>
  <dataValidations count="4">
    <dataValidation allowBlank="true" errorStyle="stop" operator="between" showDropDown="false" showErrorMessage="false" showInputMessage="false" sqref="Q5:S14" type="whole">
      <formula1>0</formula1>
      <formula2>2</formula2>
    </dataValidation>
    <dataValidation allowBlank="true" errorStyle="stop" operator="between" showDropDown="false" showErrorMessage="true" showInputMessage="true" sqref="G5:G14" type="whole">
      <formula1>1</formula1>
      <formula2>365</formula2>
    </dataValidation>
    <dataValidation allowBlank="true" errorStyle="stop" operator="between" showDropDown="false" showErrorMessage="true" showInputMessage="true" sqref="F5:F14" type="whole">
      <formula1>0</formula1>
      <formula2>100</formula2>
    </dataValidation>
    <dataValidation allowBlank="true" errorStyle="stop" operator="between" showDropDown="true" showErrorMessage="false" showInputMessage="false" sqref="H5:O200" type="list">
      <formula1>"1,2,3,4,5"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8.8359375" defaultRowHeight="13.5" customHeight="false" zeroHeight="false" outlineLevelRow="0" outlineLevelCol="0"/>
  <cols>
    <col collapsed="false" customWidth="true" hidden="false" outlineLevel="0" max="1" min="1" style="0" width="21.44"/>
    <col collapsed="false" customWidth="true" hidden="false" outlineLevel="0" max="2" min="2" style="0" width="19.98"/>
    <col collapsed="false" customWidth="true" hidden="false" outlineLevel="0" max="3" min="3" style="0" width="17.89"/>
    <col collapsed="false" customWidth="true" hidden="false" outlineLevel="0" max="4" min="4" style="0" width="17.39"/>
    <col collapsed="false" customWidth="true" hidden="false" outlineLevel="0" max="5" min="5" style="0" width="15.81"/>
    <col collapsed="false" customWidth="true" hidden="false" outlineLevel="0" max="6" min="6" style="0" width="18.26"/>
    <col collapsed="false" customWidth="true" hidden="false" outlineLevel="0" max="7" min="7" style="0" width="32.59"/>
  </cols>
  <sheetData>
    <row r="1" customFormat="false" ht="13.5" hidden="false" customHeight="false" outlineLevel="0" collapsed="false">
      <c r="A1" s="0" t="s">
        <v>377</v>
      </c>
      <c r="B1" s="0" t="s">
        <v>378</v>
      </c>
      <c r="C1" s="0" t="s">
        <v>379</v>
      </c>
      <c r="D1" s="0" t="s">
        <v>380</v>
      </c>
      <c r="E1" s="0" t="s">
        <v>381</v>
      </c>
      <c r="F1" s="0" t="s">
        <v>382</v>
      </c>
      <c r="G1" s="0" t="s">
        <v>383</v>
      </c>
    </row>
    <row r="2" customFormat="false" ht="13.5" hidden="false" customHeight="false" outlineLevel="0" collapsed="false">
      <c r="A2" s="0" t="s">
        <v>40</v>
      </c>
      <c r="B2" s="0" t="n">
        <v>7.42</v>
      </c>
      <c r="C2" s="0" t="n">
        <f aca="false">MIN($B$2:$B$18)</f>
        <v>2.86</v>
      </c>
      <c r="D2" s="0" t="n">
        <f aca="false">MAX($B$2:$B$18)</f>
        <v>7.42</v>
      </c>
      <c r="E2" s="0" t="n">
        <f aca="false">D2-C2</f>
        <v>4.56</v>
      </c>
      <c r="F2" s="0" t="n">
        <f aca="false">B2-$C$2</f>
        <v>4.56</v>
      </c>
      <c r="G2" s="0" t="n">
        <f aca="false">0.9 + (F2/$E$2)*0.2</f>
        <v>1.1</v>
      </c>
    </row>
    <row r="3" customFormat="false" ht="13.5" hidden="false" customHeight="false" outlineLevel="0" collapsed="false">
      <c r="A3" s="0" t="s">
        <v>46</v>
      </c>
      <c r="B3" s="0" t="n">
        <v>5.56</v>
      </c>
      <c r="C3" s="0" t="n">
        <f aca="false">$C$2</f>
        <v>2.86</v>
      </c>
      <c r="D3" s="0" t="n">
        <f aca="false">$D$2</f>
        <v>7.42</v>
      </c>
      <c r="E3" s="0" t="n">
        <f aca="false">$E$2</f>
        <v>4.56</v>
      </c>
      <c r="F3" s="0" t="n">
        <f aca="false">B3-$C$2</f>
        <v>2.7</v>
      </c>
      <c r="G3" s="0" t="n">
        <f aca="false">0.9 + (F3/$E$2)*0.2</f>
        <v>1.01842105263158</v>
      </c>
    </row>
    <row r="4" customFormat="false" ht="13.5" hidden="false" customHeight="false" outlineLevel="0" collapsed="false">
      <c r="A4" s="0" t="s">
        <v>384</v>
      </c>
      <c r="B4" s="0" t="n">
        <v>5</v>
      </c>
      <c r="C4" s="0" t="n">
        <f aca="false">$C$2</f>
        <v>2.86</v>
      </c>
      <c r="D4" s="0" t="n">
        <f aca="false">$D$2</f>
        <v>7.42</v>
      </c>
      <c r="E4" s="0" t="n">
        <f aca="false">$E$2</f>
        <v>4.56</v>
      </c>
      <c r="F4" s="0" t="n">
        <f aca="false">B4-$C$2</f>
        <v>2.14</v>
      </c>
      <c r="G4" s="0" t="n">
        <f aca="false">0.9 + (F4/$E$2)*0.2</f>
        <v>0.993859649122807</v>
      </c>
    </row>
    <row r="5" customFormat="false" ht="13.5" hidden="false" customHeight="false" outlineLevel="0" collapsed="false">
      <c r="A5" s="0" t="s">
        <v>385</v>
      </c>
      <c r="B5" s="0" t="n">
        <v>4.83</v>
      </c>
      <c r="C5" s="0" t="n">
        <f aca="false">$C$2</f>
        <v>2.86</v>
      </c>
      <c r="D5" s="0" t="n">
        <f aca="false">$D$2</f>
        <v>7.42</v>
      </c>
      <c r="E5" s="0" t="n">
        <f aca="false">$E$2</f>
        <v>4.56</v>
      </c>
      <c r="F5" s="0" t="n">
        <f aca="false">B5-$C$2</f>
        <v>1.97</v>
      </c>
      <c r="G5" s="0" t="n">
        <f aca="false">0.9 + (F5/$E$2)*0.2</f>
        <v>0.98640350877193</v>
      </c>
    </row>
    <row r="6" customFormat="false" ht="13.5" hidden="false" customHeight="false" outlineLevel="0" collapsed="false">
      <c r="A6" s="0" t="s">
        <v>52</v>
      </c>
      <c r="B6" s="0" t="n">
        <v>4.79</v>
      </c>
      <c r="C6" s="0" t="n">
        <f aca="false">$C$2</f>
        <v>2.86</v>
      </c>
      <c r="D6" s="0" t="n">
        <f aca="false">$D$2</f>
        <v>7.42</v>
      </c>
      <c r="E6" s="0" t="n">
        <f aca="false">$E$2</f>
        <v>4.56</v>
      </c>
      <c r="F6" s="0" t="n">
        <f aca="false">B6-$C$2</f>
        <v>1.93</v>
      </c>
      <c r="G6" s="0" t="n">
        <f aca="false">0.9 + (F6/$E$2)*0.2</f>
        <v>0.984649122807018</v>
      </c>
    </row>
    <row r="7" customFormat="false" ht="13.5" hidden="false" customHeight="false" outlineLevel="0" collapsed="false">
      <c r="A7" s="0" t="s">
        <v>386</v>
      </c>
      <c r="B7" s="0" t="n">
        <v>4.61</v>
      </c>
      <c r="C7" s="0" t="n">
        <f aca="false">$C$2</f>
        <v>2.86</v>
      </c>
      <c r="D7" s="0" t="n">
        <f aca="false">$D$2</f>
        <v>7.42</v>
      </c>
      <c r="E7" s="0" t="n">
        <f aca="false">$E$2</f>
        <v>4.56</v>
      </c>
      <c r="F7" s="0" t="n">
        <f aca="false">B7-$C$2</f>
        <v>1.75</v>
      </c>
      <c r="G7" s="0" t="n">
        <f aca="false">0.9 + (F7/$E$2)*0.2</f>
        <v>0.976754385964912</v>
      </c>
    </row>
    <row r="8" customFormat="false" ht="13.5" hidden="false" customHeight="false" outlineLevel="0" collapsed="false">
      <c r="A8" s="0" t="s">
        <v>387</v>
      </c>
      <c r="B8" s="0" t="n">
        <v>4.56</v>
      </c>
      <c r="C8" s="0" t="n">
        <f aca="false">$C$2</f>
        <v>2.86</v>
      </c>
      <c r="D8" s="0" t="n">
        <f aca="false">$D$2</f>
        <v>7.42</v>
      </c>
      <c r="E8" s="0" t="n">
        <f aca="false">$E$2</f>
        <v>4.56</v>
      </c>
      <c r="F8" s="0" t="n">
        <f aca="false">B8-$C$2</f>
        <v>1.7</v>
      </c>
      <c r="G8" s="0" t="n">
        <f aca="false">0.9 + (F8/$E$2)*0.2</f>
        <v>0.974561403508772</v>
      </c>
    </row>
    <row r="9" customFormat="false" ht="13.5" hidden="false" customHeight="false" outlineLevel="0" collapsed="false">
      <c r="A9" s="0" t="s">
        <v>388</v>
      </c>
      <c r="B9" s="0" t="n">
        <v>4.43</v>
      </c>
      <c r="C9" s="0" t="n">
        <f aca="false">$C$2</f>
        <v>2.86</v>
      </c>
      <c r="D9" s="0" t="n">
        <f aca="false">$D$2</f>
        <v>7.42</v>
      </c>
      <c r="E9" s="0" t="n">
        <f aca="false">$E$2</f>
        <v>4.56</v>
      </c>
      <c r="F9" s="0" t="n">
        <f aca="false">B9-$C$2</f>
        <v>1.57</v>
      </c>
      <c r="G9" s="0" t="n">
        <f aca="false">0.9 + (F9/$E$2)*0.2</f>
        <v>0.968859649122807</v>
      </c>
    </row>
    <row r="10" customFormat="false" ht="13.5" hidden="false" customHeight="false" outlineLevel="0" collapsed="false">
      <c r="A10" s="0" t="s">
        <v>389</v>
      </c>
      <c r="B10" s="0" t="n">
        <v>4.22</v>
      </c>
      <c r="C10" s="0" t="n">
        <f aca="false">$C$2</f>
        <v>2.86</v>
      </c>
      <c r="D10" s="0" t="n">
        <f aca="false">$D$2</f>
        <v>7.42</v>
      </c>
      <c r="E10" s="0" t="n">
        <f aca="false">$E$2</f>
        <v>4.56</v>
      </c>
      <c r="F10" s="0" t="n">
        <f aca="false">B10-$C$2</f>
        <v>1.36</v>
      </c>
      <c r="G10" s="0" t="n">
        <f aca="false">0.9 + (F10/$E$2)*0.2</f>
        <v>0.959649122807018</v>
      </c>
    </row>
    <row r="11" customFormat="false" ht="13.5" hidden="false" customHeight="false" outlineLevel="0" collapsed="false">
      <c r="A11" s="0" t="s">
        <v>390</v>
      </c>
      <c r="B11" s="0" t="n">
        <v>4.03</v>
      </c>
      <c r="C11" s="0" t="n">
        <f aca="false">$C$2</f>
        <v>2.86</v>
      </c>
      <c r="D11" s="0" t="n">
        <f aca="false">$D$2</f>
        <v>7.42</v>
      </c>
      <c r="E11" s="0" t="n">
        <f aca="false">$E$2</f>
        <v>4.56</v>
      </c>
      <c r="F11" s="0" t="n">
        <f aca="false">B11-$C$2</f>
        <v>1.17</v>
      </c>
      <c r="G11" s="0" t="n">
        <f aca="false">0.9 + (F11/$E$2)*0.2</f>
        <v>0.951315789473684</v>
      </c>
    </row>
    <row r="12" customFormat="false" ht="13.5" hidden="false" customHeight="false" outlineLevel="0" collapsed="false">
      <c r="A12" s="0" t="s">
        <v>391</v>
      </c>
      <c r="B12" s="0" t="n">
        <v>3.98</v>
      </c>
      <c r="C12" s="0" t="n">
        <f aca="false">$C$2</f>
        <v>2.86</v>
      </c>
      <c r="D12" s="0" t="n">
        <f aca="false">$D$2</f>
        <v>7.42</v>
      </c>
      <c r="E12" s="0" t="n">
        <f aca="false">$E$2</f>
        <v>4.56</v>
      </c>
      <c r="F12" s="0" t="n">
        <f aca="false">B12-$C$2</f>
        <v>1.12</v>
      </c>
      <c r="G12" s="0" t="n">
        <f aca="false">0.9 + (F12/$E$2)*0.2</f>
        <v>0.949122807017544</v>
      </c>
    </row>
    <row r="13" customFormat="false" ht="13.5" hidden="false" customHeight="false" outlineLevel="0" collapsed="false">
      <c r="A13" s="0" t="s">
        <v>392</v>
      </c>
      <c r="B13" s="0" t="n">
        <v>3.8</v>
      </c>
      <c r="C13" s="0" t="n">
        <f aca="false">$C$2</f>
        <v>2.86</v>
      </c>
      <c r="D13" s="0" t="n">
        <f aca="false">$D$2</f>
        <v>7.42</v>
      </c>
      <c r="E13" s="0" t="n">
        <f aca="false">$E$2</f>
        <v>4.56</v>
      </c>
      <c r="F13" s="0" t="n">
        <f aca="false">B13-$C$2</f>
        <v>0.94</v>
      </c>
      <c r="G13" s="0" t="n">
        <f aca="false">0.9 + (F13/$E$2)*0.2</f>
        <v>0.941228070175439</v>
      </c>
    </row>
    <row r="14" customFormat="false" ht="13.5" hidden="false" customHeight="false" outlineLevel="0" collapsed="false">
      <c r="A14" s="0" t="s">
        <v>393</v>
      </c>
      <c r="B14" s="0" t="n">
        <v>3.79</v>
      </c>
      <c r="C14" s="0" t="n">
        <f aca="false">$C$2</f>
        <v>2.86</v>
      </c>
      <c r="D14" s="0" t="n">
        <f aca="false">$D$2</f>
        <v>7.42</v>
      </c>
      <c r="E14" s="0" t="n">
        <f aca="false">$E$2</f>
        <v>4.56</v>
      </c>
      <c r="F14" s="0" t="n">
        <f aca="false">B14-$C$2</f>
        <v>0.93</v>
      </c>
      <c r="G14" s="0" t="n">
        <f aca="false">0.9 + (F14/$E$2)*0.2</f>
        <v>0.940789473684211</v>
      </c>
    </row>
    <row r="15" customFormat="false" ht="13.5" hidden="false" customHeight="false" outlineLevel="0" collapsed="false">
      <c r="A15" s="0" t="s">
        <v>394</v>
      </c>
      <c r="B15" s="0" t="n">
        <v>3.75</v>
      </c>
      <c r="C15" s="0" t="n">
        <f aca="false">$C$2</f>
        <v>2.86</v>
      </c>
      <c r="D15" s="0" t="n">
        <f aca="false">$D$2</f>
        <v>7.42</v>
      </c>
      <c r="E15" s="0" t="n">
        <f aca="false">$E$2</f>
        <v>4.56</v>
      </c>
      <c r="F15" s="0" t="n">
        <f aca="false">B15-$C$2</f>
        <v>0.89</v>
      </c>
      <c r="G15" s="0" t="n">
        <f aca="false">0.9 + (F15/$E$2)*0.2</f>
        <v>0.939035087719298</v>
      </c>
    </row>
    <row r="16" customFormat="false" ht="13.5" hidden="false" customHeight="false" outlineLevel="0" collapsed="false">
      <c r="A16" s="0" t="s">
        <v>395</v>
      </c>
      <c r="B16" s="0" t="n">
        <v>3.72</v>
      </c>
      <c r="C16" s="0" t="n">
        <f aca="false">$C$2</f>
        <v>2.86</v>
      </c>
      <c r="D16" s="0" t="n">
        <f aca="false">$D$2</f>
        <v>7.42</v>
      </c>
      <c r="E16" s="0" t="n">
        <f aca="false">$E$2</f>
        <v>4.56</v>
      </c>
      <c r="F16" s="0" t="n">
        <f aca="false">B16-$C$2</f>
        <v>0.86</v>
      </c>
      <c r="G16" s="0" t="n">
        <f aca="false">0.9 + (F16/$E$2)*0.2</f>
        <v>0.937719298245614</v>
      </c>
    </row>
    <row r="17" customFormat="false" ht="13.5" hidden="false" customHeight="false" outlineLevel="0" collapsed="false">
      <c r="A17" s="0" t="s">
        <v>49</v>
      </c>
      <c r="B17" s="0" t="n">
        <v>3.54</v>
      </c>
      <c r="C17" s="0" t="n">
        <f aca="false">$C$2</f>
        <v>2.86</v>
      </c>
      <c r="D17" s="0" t="n">
        <f aca="false">$D$2</f>
        <v>7.42</v>
      </c>
      <c r="E17" s="0" t="n">
        <f aca="false">$E$2</f>
        <v>4.56</v>
      </c>
      <c r="F17" s="0" t="n">
        <f aca="false">B17-$C$2</f>
        <v>0.68</v>
      </c>
      <c r="G17" s="0" t="n">
        <f aca="false">0.9 + (F17/$E$2)*0.2</f>
        <v>0.929824561403509</v>
      </c>
    </row>
    <row r="18" customFormat="false" ht="13.5" hidden="false" customHeight="false" outlineLevel="0" collapsed="false">
      <c r="A18" s="0" t="s">
        <v>43</v>
      </c>
      <c r="B18" s="0" t="n">
        <v>2.86</v>
      </c>
      <c r="C18" s="0" t="n">
        <f aca="false">$C$2</f>
        <v>2.86</v>
      </c>
      <c r="D18" s="0" t="n">
        <f aca="false">$D$2</f>
        <v>7.42</v>
      </c>
      <c r="E18" s="0" t="n">
        <f aca="false">$E$2</f>
        <v>4.56</v>
      </c>
      <c r="F18" s="0" t="n">
        <f aca="false">B18-$C$2</f>
        <v>0</v>
      </c>
      <c r="G18" s="0" t="n">
        <f aca="false">0.9 + (F18/$E$2)*0.2</f>
        <v>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3.5" customHeight="false" zeroHeight="false" outlineLevelRow="0" outlineLevelCol="0"/>
  <cols>
    <col collapsed="false" customWidth="true" hidden="false" outlineLevel="0" max="1" min="1" style="0" width="33.58"/>
    <col collapsed="false" customWidth="true" hidden="false" outlineLevel="0" max="2" min="2" style="0" width="35.66"/>
  </cols>
  <sheetData>
    <row r="1" customFormat="false" ht="13.5" hidden="false" customHeight="false" outlineLevel="0" collapsed="false">
      <c r="A1" s="0" t="s">
        <v>35</v>
      </c>
      <c r="B1" s="0" t="s">
        <v>37</v>
      </c>
    </row>
    <row r="2" customFormat="false" ht="13.5" hidden="false" customHeight="false" outlineLevel="0" collapsed="false">
      <c r="A2" s="0" t="s">
        <v>129</v>
      </c>
      <c r="B2" s="0" t="s">
        <v>384</v>
      </c>
    </row>
    <row r="3" customFormat="false" ht="13.5" hidden="false" customHeight="false" outlineLevel="0" collapsed="false">
      <c r="A3" s="0" t="s">
        <v>131</v>
      </c>
      <c r="B3" s="0" t="s">
        <v>384</v>
      </c>
    </row>
    <row r="4" customFormat="false" ht="13.5" hidden="false" customHeight="false" outlineLevel="0" collapsed="false">
      <c r="A4" s="0" t="s">
        <v>132</v>
      </c>
      <c r="B4" s="0" t="s">
        <v>384</v>
      </c>
    </row>
    <row r="5" customFormat="false" ht="13.5" hidden="false" customHeight="false" outlineLevel="0" collapsed="false">
      <c r="A5" s="0" t="s">
        <v>133</v>
      </c>
      <c r="B5" s="0" t="s">
        <v>385</v>
      </c>
    </row>
    <row r="6" customFormat="false" ht="13.5" hidden="false" customHeight="false" outlineLevel="0" collapsed="false">
      <c r="A6" s="0" t="s">
        <v>134</v>
      </c>
      <c r="B6" s="0" t="s">
        <v>385</v>
      </c>
    </row>
    <row r="7" customFormat="false" ht="13.5" hidden="false" customHeight="false" outlineLevel="0" collapsed="false">
      <c r="A7" s="0" t="s">
        <v>135</v>
      </c>
      <c r="B7" s="0" t="s">
        <v>384</v>
      </c>
    </row>
    <row r="8" customFormat="false" ht="13.5" hidden="false" customHeight="false" outlineLevel="0" collapsed="false">
      <c r="A8" s="0" t="s">
        <v>47</v>
      </c>
      <c r="B8" s="0" t="s">
        <v>49</v>
      </c>
    </row>
    <row r="9" customFormat="false" ht="13.5" hidden="false" customHeight="false" outlineLevel="0" collapsed="false">
      <c r="A9" s="0" t="s">
        <v>136</v>
      </c>
      <c r="B9" s="0" t="s">
        <v>391</v>
      </c>
    </row>
    <row r="10" customFormat="false" ht="13.5" hidden="false" customHeight="false" outlineLevel="0" collapsed="false">
      <c r="A10" s="0" t="s">
        <v>137</v>
      </c>
      <c r="B10" s="0" t="s">
        <v>390</v>
      </c>
    </row>
    <row r="11" customFormat="false" ht="13.5" hidden="false" customHeight="false" outlineLevel="0" collapsed="false">
      <c r="A11" s="0" t="s">
        <v>50</v>
      </c>
      <c r="B11" s="0" t="s">
        <v>52</v>
      </c>
    </row>
    <row r="12" customFormat="false" ht="13.5" hidden="false" customHeight="false" outlineLevel="0" collapsed="false">
      <c r="A12" s="0" t="s">
        <v>44</v>
      </c>
      <c r="B12" s="0" t="s">
        <v>46</v>
      </c>
    </row>
    <row r="13" customFormat="false" ht="13.5" hidden="false" customHeight="false" outlineLevel="0" collapsed="false">
      <c r="A13" s="0" t="s">
        <v>138</v>
      </c>
      <c r="B13" s="0" t="s">
        <v>387</v>
      </c>
    </row>
    <row r="14" customFormat="false" ht="13.5" hidden="false" customHeight="false" outlineLevel="0" collapsed="false">
      <c r="A14" s="0" t="s">
        <v>139</v>
      </c>
      <c r="B14" s="0" t="s">
        <v>387</v>
      </c>
    </row>
    <row r="15" customFormat="false" ht="13.5" hidden="false" customHeight="false" outlineLevel="0" collapsed="false">
      <c r="A15" s="0" t="s">
        <v>140</v>
      </c>
      <c r="B15" s="0" t="s">
        <v>387</v>
      </c>
    </row>
    <row r="16" customFormat="false" ht="13.5" hidden="false" customHeight="false" outlineLevel="0" collapsed="false">
      <c r="A16" s="0" t="s">
        <v>41</v>
      </c>
      <c r="B16" s="0" t="s">
        <v>43</v>
      </c>
    </row>
    <row r="17" customFormat="false" ht="13.5" hidden="false" customHeight="false" outlineLevel="0" collapsed="false">
      <c r="A17" s="0" t="s">
        <v>141</v>
      </c>
      <c r="B17" s="0" t="s">
        <v>392</v>
      </c>
    </row>
    <row r="18" customFormat="false" ht="13.5" hidden="false" customHeight="false" outlineLevel="0" collapsed="false">
      <c r="A18" s="0" t="s">
        <v>38</v>
      </c>
      <c r="B18" s="0" t="s">
        <v>40</v>
      </c>
    </row>
    <row r="19" customFormat="false" ht="13.5" hidden="false" customHeight="false" outlineLevel="0" collapsed="false">
      <c r="A19" s="0" t="s">
        <v>142</v>
      </c>
      <c r="B19" s="0" t="s">
        <v>388</v>
      </c>
    </row>
    <row r="20" customFormat="false" ht="13.5" hidden="false" customHeight="false" outlineLevel="0" collapsed="false">
      <c r="A20" s="0" t="s">
        <v>143</v>
      </c>
      <c r="B20" s="0"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8.8359375" defaultRowHeight="13.5" customHeight="false" zeroHeight="false" outlineLevelRow="0" outlineLevelCol="0"/>
  <cols>
    <col collapsed="false" customWidth="true" hidden="false" outlineLevel="0" max="1" min="1" style="0" width="48.67"/>
    <col collapsed="false" customWidth="true" hidden="false" outlineLevel="0" max="2" min="2" style="0" width="25.83"/>
  </cols>
  <sheetData>
    <row r="1" customFormat="false" ht="13.5" hidden="false" customHeight="false" outlineLevel="0" collapsed="false">
      <c r="A1" s="5" t="s">
        <v>396</v>
      </c>
      <c r="D1" s="0" t="s">
        <v>397</v>
      </c>
    </row>
    <row r="3" customFormat="false" ht="13.5" hidden="false" customHeight="false" outlineLevel="0" collapsed="false">
      <c r="A3" s="0" t="s">
        <v>398</v>
      </c>
      <c r="B3" s="0" t="str">
        <f aca="false">IF(AND(DT_Calc!B37&gt;=0.8,DT_Calc!B37&lt;=1.3),"OK","ERROR")</f>
        <v>OK</v>
      </c>
    </row>
    <row r="4" customFormat="false" ht="13.5" hidden="false" customHeight="false" outlineLevel="0" collapsed="false">
      <c r="A4" s="0" t="s">
        <v>399</v>
      </c>
      <c r="B4" s="0" t="str">
        <f aca="false">IF(AND(DT_Calc!B47&gt;=0.8,DT_Calc!B47&lt;=1.3),"OK","ERROR")</f>
        <v>OK</v>
      </c>
    </row>
    <row r="5" customFormat="false" ht="13.5" hidden="false" customHeight="false" outlineLevel="0" collapsed="false">
      <c r="A5" s="0" t="s">
        <v>400</v>
      </c>
      <c r="B5" s="0" t="str">
        <f aca="false">IF(AND(DT_Calc!B16&gt;=0.5,DT_Calc!B16&lt;=3),"OK","ERROR")</f>
        <v>OK</v>
      </c>
    </row>
    <row r="6" customFormat="false" ht="13.5" hidden="false" customHeight="false" outlineLevel="0" collapsed="false">
      <c r="A6" s="0" t="s">
        <v>401</v>
      </c>
      <c r="B6" s="53" t="str">
        <f aca="true">IFERROR(IF(COUNTBLANK(OFFSET(DT_Scenarios!$H$1,MATCH(DT_Calc!$B$4,DT_Scenarios!$A:$A,0)-1,0,1,8))=0,"OK","ERROR"),"ERROR")</f>
        <v>OK</v>
      </c>
    </row>
    <row r="7" customFormat="false" ht="13.5" hidden="false" customHeight="false" outlineLevel="0" collapsed="false">
      <c r="A7" s="0" t="s">
        <v>402</v>
      </c>
      <c r="B7" s="0" t="str">
        <f aca="false">IF(DT_Calc!B37&lt;=1.3,"OK","CHECK")</f>
        <v>OK</v>
      </c>
    </row>
    <row r="8" customFormat="false" ht="13.5" hidden="false" customHeight="false" outlineLevel="0" collapsed="false">
      <c r="A8" s="0" t="s">
        <v>403</v>
      </c>
      <c r="B8" s="0" t="str">
        <f aca="false">IF(DT_Calc!B45&gt;0,"OK","ERROR")</f>
        <v>OK</v>
      </c>
    </row>
    <row r="10" customFormat="false" ht="13.5" hidden="false" customHeight="false" outlineLevel="0" collapsed="false">
      <c r="A10" s="0" t="s">
        <v>404</v>
      </c>
      <c r="B10" s="44" t="b">
        <f aca="false">OR(DT_Calc!B57=0.9,DT_Calc!B57=1,DT_Calc!B57=1.1)</f>
        <v>1</v>
      </c>
    </row>
    <row r="11" customFormat="false" ht="13.5" hidden="false" customHeight="false" outlineLevel="0" collapsed="false">
      <c r="A11" s="0" t="s">
        <v>405</v>
      </c>
      <c r="B11" s="44" t="b">
        <f aca="false">AND(DT_Calc!B56&gt;=0.95,DT_Calc!B56&lt;=1.05)</f>
        <v>1</v>
      </c>
    </row>
    <row r="12" customFormat="false" ht="13.5" hidden="false" customHeight="false" outlineLevel="0" collapsed="false">
      <c r="A12" s="0" t="s">
        <v>406</v>
      </c>
      <c r="B12" s="44" t="b">
        <f aca="false">DT_Calc!B59&gt;=0</f>
        <v>1</v>
      </c>
    </row>
    <row r="14" customFormat="false" ht="13.5" hidden="false" customHeight="false" outlineLevel="0" collapsed="false">
      <c r="A14" s="0" t="s">
        <v>407</v>
      </c>
      <c r="B14" s="44" t="b">
        <f aca="false">OR(CCL_Customer_Model="B2B",CCL_Customer_Model="B2C")</f>
        <v>1</v>
      </c>
    </row>
    <row r="15" customFormat="false" ht="13.5" hidden="false" customHeight="false" outlineLevel="0" collapsed="false">
      <c r="A15" s="0" t="s">
        <v>408</v>
      </c>
      <c r="B15" s="44" t="b">
        <f aca="false">OR(CCL_Concentration="Low",CCL_Concentration="Medium",CCL_Concentration="High")</f>
        <v>1</v>
      </c>
    </row>
    <row r="16" customFormat="false" ht="13.5" hidden="false" customHeight="false" outlineLevel="0" collapsed="false">
      <c r="A16" s="0" t="s">
        <v>409</v>
      </c>
      <c r="B16" s="44" t="b">
        <f aca="false">AND(CCL_Base_Pct&gt;=0.002,CCL_Base_Pct&lt;=0.012)</f>
        <v>1</v>
      </c>
    </row>
    <row r="17" customFormat="false" ht="13.5" hidden="false" customHeight="false" outlineLevel="0" collapsed="false">
      <c r="A17" s="0" t="s">
        <v>410</v>
      </c>
      <c r="B17" s="44" t="b">
        <f aca="false">AND(CCL_Severity_Adj&gt;=INDEX(tbl_CCL_Params[Value], MATCH("CCL_Severity_Min", tbl_CCL_Params[Parameter], 0)),CCL_Severity_Adj&lt;=INDEX(tbl_CCL_Params[Value], MATCH("CCL_Severity_Max", tbl_CCL_Params[Parameter], 0)))</f>
        <v>1</v>
      </c>
    </row>
    <row r="18" customFormat="false" ht="13.5" hidden="false" customHeight="false" outlineLevel="0" collapsed="false">
      <c r="A18" s="0" t="s">
        <v>411</v>
      </c>
    </row>
    <row r="20" customFormat="false" ht="13.5" hidden="false" customHeight="false" outlineLevel="0" collapsed="false">
      <c r="A20" s="0" t="s">
        <v>412</v>
      </c>
      <c r="B20" s="0" t="str">
        <f aca="false">IF(AND(Reg_Severity_Adj&gt;=1,Reg_Severity_Adj&lt;=1.5),"OK","ERROR")</f>
        <v>OK</v>
      </c>
    </row>
    <row r="21" customFormat="false" ht="13.5" hidden="false" customHeight="false" outlineLevel="0" collapsed="false">
      <c r="A21" s="0" t="s">
        <v>413</v>
      </c>
      <c r="B21" s="0" t="str">
        <f aca="false">IF(AND(Reg_IR_Adj&gt;=0.9,Reg_IR_Adj&lt;=1.15),"OK","ERROR")</f>
        <v>OK</v>
      </c>
    </row>
    <row r="22" customFormat="false" ht="13.5" hidden="false" customHeight="false" outlineLevel="0" collapsed="false">
      <c r="A22" s="0" t="s">
        <v>414</v>
      </c>
      <c r="B22" s="0" t="str">
        <f aca="false">IF(Reg_Cost_Mid&gt;=0,"OK","ERROR")</f>
        <v>OK</v>
      </c>
    </row>
    <row r="24" customFormat="false" ht="13.5" hidden="false" customHeight="false" outlineLevel="0" collapsed="false">
      <c r="A24" s="5" t="s">
        <v>415</v>
      </c>
    </row>
    <row r="25" customFormat="false" ht="13.5" hidden="false" customHeight="false" outlineLevel="0" collapsed="false">
      <c r="A25" s="0" t="s">
        <v>416</v>
      </c>
      <c r="B25" s="0" t="str">
        <f aca="false">IF(Reputation_Cost_Mid&gt;=0,"OK","ERROR")</f>
        <v>OK</v>
      </c>
    </row>
    <row r="26" customFormat="false" ht="13.5" hidden="false" customHeight="false" outlineLevel="0" collapsed="false">
      <c r="A26" s="0" t="s">
        <v>417</v>
      </c>
      <c r="B26" s="0" t="str">
        <f aca="false">IF(Reputation_Cost_Mid&lt;=CCL_Cost_Mid,"OK","CHECK")</f>
        <v>OK</v>
      </c>
    </row>
    <row r="28" customFormat="false" ht="13.5" hidden="false" customHeight="false" outlineLevel="0" collapsed="false">
      <c r="A28" s="0" t="s">
        <v>418</v>
      </c>
      <c r="B28" s="0" t="str">
        <f aca="false">IF(Governance_Cost_Mid&lt;=IR_Cost_Mid,"OK","CHECK")</f>
        <v>OK</v>
      </c>
    </row>
    <row r="30" customFormat="false" ht="13.5" hidden="false" customHeight="false" outlineLevel="0" collapsed="false">
      <c r="A30" s="0" t="s">
        <v>419</v>
      </c>
      <c r="B30" s="0" t="s">
        <v>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849</TotalTime>
  <Application>LibreOffice/25.8.5.2$Linux_X86_64 LibreOffice_project/252c20f6956e3db0b52e6e2f9dda67263513c8fc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2026-02-21T12:55:59Z</dcterms:created>
  <dc:creator>openpyxl</dc:creator>
  <dc:description/>
  <dc:language>en-US</dc:language>
  <cp:lastModifiedBy/>
  <dcterms:modified xsi:type="dcterms:W3CDTF">2026-03-13T10:13:50Z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